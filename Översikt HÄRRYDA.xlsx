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46253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46253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46253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46253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46253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46253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46253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46253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46253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46253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46253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46253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46253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46253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46253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46253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23492-2026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46253</v>
      </c>
      <c r="F25" t="inlineStr">
        <is>
          <t>VÄSTRA GÖTALANDS LÄN</t>
        </is>
      </c>
      <c r="G25" t="inlineStr">
        <is>
          <t>HÄRRYDA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23492-2026 artfynd.xlsx", "A 23492-2026")</f>
        <v/>
      </c>
      <c r="X25">
        <f>HYPERLINK("https://klasma.github.io/Logging_1401/kartor/A 23492-2026 karta.png", "A 23492-2026")</f>
        <v/>
      </c>
      <c r="Y25">
        <f>HYPERLINK("https://klasma.github.io/Logging_1401/kartor_geotiff/A 23492-2026 georefererad karta.tif", "A 23492-2026")</f>
        <v/>
      </c>
      <c r="AA25">
        <f>HYPERLINK("https://klasma.github.io/Logging_1401/klagomål/A 23492-2026 FSC-klagomål.docx", "A 23492-2026")</f>
        <v/>
      </c>
      <c r="AB25">
        <f>HYPERLINK("https://klasma.github.io/Logging_1401/klagomålsmail/A 23492-2026 FSC-klagomål mail.docx", "A 23492-2026")</f>
        <v/>
      </c>
      <c r="AC25">
        <f>HYPERLINK("https://klasma.github.io/Logging_1401/tillsyn/A 23492-2026 tillsynsbegäran.docx", "A 23492-2026")</f>
        <v/>
      </c>
      <c r="AD25">
        <f>HYPERLINK("https://klasma.github.io/Logging_1401/tillsynsmail/A 23492-2026 tillsynsbegäran mail.docx", "A 23492-2026")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46253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46253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46253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46253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46253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46253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46253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46253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46253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46253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46253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46253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46253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46253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46253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46253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46253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46253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46253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46253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46253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46253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46253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46253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46253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46253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46253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46253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46253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46253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46253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40053-2023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46253</v>
      </c>
      <c r="F58" t="inlineStr">
        <is>
          <t>VÄSTRA GÖTALANDS LÄN</t>
        </is>
      </c>
      <c r="G58" t="inlineStr">
        <is>
          <t>HÄRRYDA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44960</v>
      </c>
      <c r="E59" s="1" t="n">
        <v>46253</v>
      </c>
      <c r="F59" t="inlineStr">
        <is>
          <t>VÄSTRA GÖTALANDS LÄN</t>
        </is>
      </c>
      <c r="G59" t="inlineStr">
        <is>
          <t>HÄRRYDA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45012</v>
      </c>
      <c r="E60" s="1" t="n">
        <v>46253</v>
      </c>
      <c r="F60" t="inlineStr">
        <is>
          <t>VÄSTRA GÖTALANDS LÄN</t>
        </is>
      </c>
      <c r="G60" t="inlineStr">
        <is>
          <t>HÄRRYDA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25439-2022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44732</v>
      </c>
      <c r="E61" s="1" t="n">
        <v>46253</v>
      </c>
      <c r="F61" t="inlineStr">
        <is>
          <t>VÄSTRA GÖTALANDS LÄN</t>
        </is>
      </c>
      <c r="G61" t="inlineStr">
        <is>
          <t>HÄRRYDA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46253</v>
      </c>
      <c r="F62" t="inlineStr">
        <is>
          <t>VÄSTRA GÖTALANDS LÄN</t>
        </is>
      </c>
      <c r="G62" t="inlineStr">
        <is>
          <t>HÄRRYDA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46253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46253</v>
      </c>
      <c r="F64" t="inlineStr">
        <is>
          <t>VÄSTRA GÖTALANDS LÄN</t>
        </is>
      </c>
      <c r="G64" t="inlineStr">
        <is>
          <t>HÄRRYDA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46253</v>
      </c>
      <c r="F65" t="inlineStr">
        <is>
          <t>VÄSTRA GÖTALANDS LÄN</t>
        </is>
      </c>
      <c r="G65" t="inlineStr">
        <is>
          <t>HÄRRYDA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46253</v>
      </c>
      <c r="F66" t="inlineStr">
        <is>
          <t>VÄSTRA GÖTALANDS LÄN</t>
        </is>
      </c>
      <c r="G66" t="inlineStr">
        <is>
          <t>HÄRRYDA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46253</v>
      </c>
      <c r="F67" t="inlineStr">
        <is>
          <t>VÄSTRA GÖTALANDS LÄN</t>
        </is>
      </c>
      <c r="G67" t="inlineStr">
        <is>
          <t>HÄRRYDA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46253</v>
      </c>
      <c r="F68" t="inlineStr">
        <is>
          <t>VÄSTRA GÖTALANDS LÄN</t>
        </is>
      </c>
      <c r="G68" t="inlineStr">
        <is>
          <t>HÄRRYDA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46253</v>
      </c>
      <c r="F69" t="inlineStr">
        <is>
          <t>VÄSTRA GÖTALANDS LÄN</t>
        </is>
      </c>
      <c r="G69" t="inlineStr">
        <is>
          <t>HÄRRYDA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15698-2026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46253</v>
      </c>
      <c r="F70" t="inlineStr">
        <is>
          <t>VÄSTRA GÖTALANDS LÄN</t>
        </is>
      </c>
      <c r="G70" t="inlineStr">
        <is>
          <t>HÄRRYDA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15700-2026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46253</v>
      </c>
      <c r="F71" t="inlineStr">
        <is>
          <t>VÄSTRA GÖTALANDS LÄN</t>
        </is>
      </c>
      <c r="G71" t="inlineStr">
        <is>
          <t>HÄRRYDA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46253</v>
      </c>
      <c r="F72" t="inlineStr">
        <is>
          <t>VÄSTRA GÖTALANDS LÄN</t>
        </is>
      </c>
      <c r="G72" t="inlineStr">
        <is>
          <t>HÄRRYDA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46253</v>
      </c>
      <c r="F73" t="inlineStr">
        <is>
          <t>VÄSTRA GÖTALANDS LÄN</t>
        </is>
      </c>
      <c r="G73" t="inlineStr">
        <is>
          <t>HÄRRYDA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15401-2026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46106</v>
      </c>
      <c r="E74" s="1" t="n">
        <v>46253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46253</v>
      </c>
      <c r="F75" t="inlineStr">
        <is>
          <t>VÄSTRA GÖTALANDS LÄN</t>
        </is>
      </c>
      <c r="G75" t="inlineStr">
        <is>
          <t>HÄRRYDA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46253</v>
      </c>
      <c r="F76" t="inlineStr">
        <is>
          <t>VÄSTRA GÖTALANDS LÄN</t>
        </is>
      </c>
      <c r="G76" t="inlineStr">
        <is>
          <t>HÄRRYDA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46253</v>
      </c>
      <c r="F77" t="inlineStr">
        <is>
          <t>VÄSTRA GÖTALANDS LÄN</t>
        </is>
      </c>
      <c r="G77" t="inlineStr">
        <is>
          <t>HÄRRYDA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45751</v>
      </c>
      <c r="E78" s="1" t="n">
        <v>46253</v>
      </c>
      <c r="F78" t="inlineStr">
        <is>
          <t>VÄSTRA GÖTALANDS LÄN</t>
        </is>
      </c>
      <c r="G78" t="inlineStr">
        <is>
          <t>HÄRRYDA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45058</v>
      </c>
      <c r="E79" s="1" t="n">
        <v>46253</v>
      </c>
      <c r="F79" t="inlineStr">
        <is>
          <t>VÄSTRA GÖTALANDS LÄN</t>
        </is>
      </c>
      <c r="G79" t="inlineStr">
        <is>
          <t>HÄRRYDA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45968</v>
      </c>
      <c r="E80" s="1" t="n">
        <v>46253</v>
      </c>
      <c r="F80" t="inlineStr">
        <is>
          <t>VÄSTRA GÖTALANDS LÄN</t>
        </is>
      </c>
      <c r="G80" t="inlineStr">
        <is>
          <t>HÄRRYDA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45747</v>
      </c>
      <c r="E81" s="1" t="n">
        <v>46253</v>
      </c>
      <c r="F81" t="inlineStr">
        <is>
          <t>VÄSTRA GÖTALANDS LÄN</t>
        </is>
      </c>
      <c r="G81" t="inlineStr">
        <is>
          <t>HÄRRYDA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46253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45140</v>
      </c>
      <c r="E83" s="1" t="n">
        <v>46253</v>
      </c>
      <c r="F83" t="inlineStr">
        <is>
          <t>VÄSTRA GÖTALANDS LÄN</t>
        </is>
      </c>
      <c r="G83" t="inlineStr">
        <is>
          <t>HÄRRYDA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45686</v>
      </c>
      <c r="E84" s="1" t="n">
        <v>46253</v>
      </c>
      <c r="F84" t="inlineStr">
        <is>
          <t>VÄSTRA GÖTALANDS LÄN</t>
        </is>
      </c>
      <c r="G84" t="inlineStr">
        <is>
          <t>HÄRRYDA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45994</v>
      </c>
      <c r="E85" s="1" t="n">
        <v>46253</v>
      </c>
      <c r="F85" t="inlineStr">
        <is>
          <t>VÄSTRA GÖTALANDS LÄN</t>
        </is>
      </c>
      <c r="G85" t="inlineStr">
        <is>
          <t>HÄRRYDA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46253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72891-2021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46253</v>
      </c>
      <c r="F87" t="inlineStr">
        <is>
          <t>VÄSTRA GÖTALANDS LÄN</t>
        </is>
      </c>
      <c r="G87" t="inlineStr">
        <is>
          <t>HÄRRYDA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69563-2021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46253</v>
      </c>
      <c r="F88" t="inlineStr">
        <is>
          <t>VÄSTRA GÖTALANDS LÄN</t>
        </is>
      </c>
      <c r="G88" t="inlineStr">
        <is>
          <t>HÄRRYDA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45704</v>
      </c>
      <c r="E89" s="1" t="n">
        <v>46253</v>
      </c>
      <c r="F89" t="inlineStr">
        <is>
          <t>VÄSTRA GÖTALANDS LÄN</t>
        </is>
      </c>
      <c r="G89" t="inlineStr">
        <is>
          <t>HÄRRYDA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46253</v>
      </c>
      <c r="F90" t="inlineStr">
        <is>
          <t>VÄSTRA GÖTALANDS LÄN</t>
        </is>
      </c>
      <c r="G90" t="inlineStr">
        <is>
          <t>HÄRRYDA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45715</v>
      </c>
      <c r="E91" s="1" t="n">
        <v>46253</v>
      </c>
      <c r="F91" t="inlineStr">
        <is>
          <t>VÄSTRA GÖTALANDS LÄN</t>
        </is>
      </c>
      <c r="G91" t="inlineStr">
        <is>
          <t>HÄRRYDA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46253</v>
      </c>
      <c r="F92" t="inlineStr">
        <is>
          <t>VÄSTRA GÖTALANDS LÄN</t>
        </is>
      </c>
      <c r="G92" t="inlineStr">
        <is>
          <t>HÄRRYDA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46253</v>
      </c>
      <c r="F93" t="inlineStr">
        <is>
          <t>VÄSTRA GÖTALANDS LÄN</t>
        </is>
      </c>
      <c r="G93" t="inlineStr">
        <is>
          <t>HÄRRYDA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46253</v>
      </c>
      <c r="F94" t="inlineStr">
        <is>
          <t>VÄSTRA GÖTALANDS LÄN</t>
        </is>
      </c>
      <c r="G94" t="inlineStr">
        <is>
          <t>HÄRRYDA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46253</v>
      </c>
      <c r="F95" t="inlineStr">
        <is>
          <t>VÄSTRA GÖTALANDS LÄN</t>
        </is>
      </c>
      <c r="G95" t="inlineStr">
        <is>
          <t>HÄRRYDA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46253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46212</v>
      </c>
      <c r="E97" s="1" t="n">
        <v>46253</v>
      </c>
      <c r="F97" t="inlineStr">
        <is>
          <t>VÄSTRA GÖTALANDS LÄN</t>
        </is>
      </c>
      <c r="G97" t="inlineStr">
        <is>
          <t>HÄRRYDA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46212</v>
      </c>
      <c r="E98" s="1" t="n">
        <v>46253</v>
      </c>
      <c r="F98" t="inlineStr">
        <is>
          <t>VÄSTRA GÖTALANDS LÄN</t>
        </is>
      </c>
      <c r="G98" t="inlineStr">
        <is>
          <t>HÄRRYDA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46253</v>
      </c>
      <c r="F99" t="inlineStr">
        <is>
          <t>VÄSTRA GÖTALANDS LÄN</t>
        </is>
      </c>
      <c r="G99" t="inlineStr">
        <is>
          <t>HÄRRYDA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44721</v>
      </c>
      <c r="E100" s="1" t="n">
        <v>46253</v>
      </c>
      <c r="F100" t="inlineStr">
        <is>
          <t>VÄSTRA GÖTALANDS LÄN</t>
        </is>
      </c>
      <c r="G100" t="inlineStr">
        <is>
          <t>HÄRRYDA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46253</v>
      </c>
      <c r="F101" t="inlineStr">
        <is>
          <t>VÄSTRA GÖTALANDS LÄN</t>
        </is>
      </c>
      <c r="G101" t="inlineStr">
        <is>
          <t>HÄRRYDA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46253</v>
      </c>
      <c r="F102" t="inlineStr">
        <is>
          <t>VÄSTRA GÖTALANDS LÄN</t>
        </is>
      </c>
      <c r="G102" t="inlineStr">
        <is>
          <t>HÄRRYDA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46253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46223</v>
      </c>
      <c r="E104" s="1" t="n">
        <v>46253</v>
      </c>
      <c r="F104" t="inlineStr">
        <is>
          <t>VÄSTRA GÖTALANDS LÄN</t>
        </is>
      </c>
      <c r="G104" t="inlineStr">
        <is>
          <t>HÄRRYDA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46253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46253</v>
      </c>
      <c r="F106" t="inlineStr">
        <is>
          <t>VÄSTRA GÖTALANDS LÄN</t>
        </is>
      </c>
      <c r="G106" t="inlineStr">
        <is>
          <t>HÄRRYDA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65080-2023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45287</v>
      </c>
      <c r="E107" s="1" t="n">
        <v>46253</v>
      </c>
      <c r="F107" t="inlineStr">
        <is>
          <t>VÄSTRA GÖTALANDS LÄN</t>
        </is>
      </c>
      <c r="G107" t="inlineStr">
        <is>
          <t>HÄRRYDA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46253</v>
      </c>
      <c r="F108" t="inlineStr">
        <is>
          <t>VÄSTRA GÖTALANDS LÄN</t>
        </is>
      </c>
      <c r="G108" t="inlineStr">
        <is>
          <t>HÄRRYDA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45307</v>
      </c>
      <c r="E109" s="1" t="n">
        <v>46253</v>
      </c>
      <c r="F109" t="inlineStr">
        <is>
          <t>VÄSTRA GÖTALANDS LÄN</t>
        </is>
      </c>
      <c r="G109" t="inlineStr">
        <is>
          <t>HÄRRYDA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46238</v>
      </c>
      <c r="E110" s="1" t="n">
        <v>46253</v>
      </c>
      <c r="F110" t="inlineStr">
        <is>
          <t>VÄSTRA GÖTALANDS LÄN</t>
        </is>
      </c>
      <c r="G110" t="inlineStr">
        <is>
          <t>HÄRRYDA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46238</v>
      </c>
      <c r="E111" s="1" t="n">
        <v>46253</v>
      </c>
      <c r="F111" t="inlineStr">
        <is>
          <t>VÄSTRA GÖTALANDS LÄN</t>
        </is>
      </c>
      <c r="G111" t="inlineStr">
        <is>
          <t>HÄRRYDA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46253</v>
      </c>
      <c r="F112" t="inlineStr">
        <is>
          <t>VÄSTRA GÖTALANDS LÄN</t>
        </is>
      </c>
      <c r="G112" t="inlineStr">
        <is>
          <t>HÄRRYDA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46253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46253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45651</v>
      </c>
      <c r="E115" s="1" t="n">
        <v>46253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31641-2026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46225</v>
      </c>
      <c r="E116" s="1" t="n">
        <v>46253</v>
      </c>
      <c r="F116" t="inlineStr">
        <is>
          <t>VÄSTRA GÖTALANDS LÄN</t>
        </is>
      </c>
      <c r="G116" t="inlineStr">
        <is>
          <t>HÄRRYDA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44732</v>
      </c>
      <c r="E117" s="1" t="n">
        <v>46253</v>
      </c>
      <c r="F117" t="inlineStr">
        <is>
          <t>VÄSTRA GÖTALANDS LÄN</t>
        </is>
      </c>
      <c r="G117" t="inlineStr">
        <is>
          <t>HÄRRYDA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46253</v>
      </c>
      <c r="F118" t="inlineStr">
        <is>
          <t>VÄSTRA GÖTALANDS LÄN</t>
        </is>
      </c>
      <c r="G118" t="inlineStr">
        <is>
          <t>HÄRRYDA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45336</v>
      </c>
      <c r="E119" s="1" t="n">
        <v>46253</v>
      </c>
      <c r="F119" t="inlineStr">
        <is>
          <t>VÄSTRA GÖTALANDS LÄN</t>
        </is>
      </c>
      <c r="G119" t="inlineStr">
        <is>
          <t>HÄRRYDA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45280</v>
      </c>
      <c r="E120" s="1" t="n">
        <v>46253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46253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46253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46253</v>
      </c>
      <c r="F123" t="inlineStr">
        <is>
          <t>VÄSTRA GÖTALANDS LÄN</t>
        </is>
      </c>
      <c r="G123" t="inlineStr">
        <is>
          <t>HÄRRYDA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46253</v>
      </c>
      <c r="F124" t="inlineStr">
        <is>
          <t>VÄSTRA GÖTALANDS LÄN</t>
        </is>
      </c>
      <c r="G124" t="inlineStr">
        <is>
          <t>HÄRRYDA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46253</v>
      </c>
      <c r="F125" t="inlineStr">
        <is>
          <t>VÄSTRA GÖTALANDS LÄN</t>
        </is>
      </c>
      <c r="G125" t="inlineStr">
        <is>
          <t>HÄRRYDA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46253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45002</v>
      </c>
      <c r="E127" s="1" t="n">
        <v>46253</v>
      </c>
      <c r="F127" t="inlineStr">
        <is>
          <t>VÄSTRA GÖTALANDS LÄN</t>
        </is>
      </c>
      <c r="G127" t="inlineStr">
        <is>
          <t>HÄRRYDA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46253</v>
      </c>
      <c r="F128" t="inlineStr">
        <is>
          <t>VÄSTRA GÖTALANDS LÄN</t>
        </is>
      </c>
      <c r="G128" t="inlineStr">
        <is>
          <t>HÄRRYDA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45336</v>
      </c>
      <c r="E129" s="1" t="n">
        <v>46253</v>
      </c>
      <c r="F129" t="inlineStr">
        <is>
          <t>VÄSTRA GÖTALANDS LÄN</t>
        </is>
      </c>
      <c r="G129" t="inlineStr">
        <is>
          <t>HÄRRYDA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55071-2023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45237</v>
      </c>
      <c r="E130" s="1" t="n">
        <v>46253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46253</v>
      </c>
      <c r="F131" t="inlineStr">
        <is>
          <t>VÄSTRA GÖTALANDS LÄN</t>
        </is>
      </c>
      <c r="G131" t="inlineStr">
        <is>
          <t>HÄRRYDA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45224</v>
      </c>
      <c r="E132" s="1" t="n">
        <v>46253</v>
      </c>
      <c r="F132" t="inlineStr">
        <is>
          <t>VÄSTRA GÖTALANDS LÄN</t>
        </is>
      </c>
      <c r="G132" t="inlineStr">
        <is>
          <t>HÄRRYDA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46253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46253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46253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2026-08-19T01:48:40Z</dcterms:created>
  <dcterms:modified xmlns:dcterms="http://purl.org/dc/terms/" xmlns:xsi="http://www.w3.org/2001/XMLSchema-instance" xsi:type="dcterms:W3CDTF">2026-08-19T01:48:40Z</dcterms:modified>
</cp:coreProperties>
</file>