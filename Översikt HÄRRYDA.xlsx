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45587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45587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29826-2023</t>
        </is>
      </c>
      <c r="B4" s="1" t="n">
        <v>45107</v>
      </c>
      <c r="C4" s="1" t="n">
        <v>45587</v>
      </c>
      <c r="D4" t="inlineStr">
        <is>
          <t>VÄSTRA GÖTALANDS LÄN</t>
        </is>
      </c>
      <c r="E4" t="inlineStr">
        <is>
          <t>HÄRRYDA</t>
        </is>
      </c>
      <c r="G4" t="n">
        <v>8.300000000000001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Blåmossa
Skuggmossa
Kungsfågel</t>
        </is>
      </c>
      <c r="S4">
        <f>HYPERLINK("https://klasma.github.io/Logging_1401/artfynd/A 29826-2023 artfynd.xlsx", "A 29826-2023")</f>
        <v/>
      </c>
      <c r="T4">
        <f>HYPERLINK("https://klasma.github.io/Logging_1401/kartor/A 29826-2023 karta.png", "A 29826-2023")</f>
        <v/>
      </c>
      <c r="V4">
        <f>HYPERLINK("https://klasma.github.io/Logging_1401/klagomål/A 29826-2023 FSC-klagomål.docx", "A 29826-2023")</f>
        <v/>
      </c>
      <c r="W4">
        <f>HYPERLINK("https://klasma.github.io/Logging_1401/klagomålsmail/A 29826-2023 FSC-klagomål mail.docx", "A 29826-2023")</f>
        <v/>
      </c>
      <c r="X4">
        <f>HYPERLINK("https://klasma.github.io/Logging_1401/tillsyn/A 29826-2023 tillsynsbegäran.docx", "A 29826-2023")</f>
        <v/>
      </c>
      <c r="Y4">
        <f>HYPERLINK("https://klasma.github.io/Logging_1401/tillsynsmail/A 29826-2023 tillsynsbegäran mail.docx", "A 29826-2023")</f>
        <v/>
      </c>
      <c r="Z4">
        <f>HYPERLINK("https://klasma.github.io/Logging_1401/fåglar/A 29826-2023 prioriterade fågelarter.docx", "A 29826-2023")</f>
        <v/>
      </c>
    </row>
    <row r="5" ht="15" customHeight="1">
      <c r="A5" t="inlineStr">
        <is>
          <t>A 14421-2024</t>
        </is>
      </c>
      <c r="B5" s="1" t="n">
        <v>45394</v>
      </c>
      <c r="C5" s="1" t="n">
        <v>45587</v>
      </c>
      <c r="D5" t="inlineStr">
        <is>
          <t>VÄSTRA GÖTALANDS LÄN</t>
        </is>
      </c>
      <c r="E5" t="inlineStr">
        <is>
          <t>HÄRRYDA</t>
        </is>
      </c>
      <c r="F5" t="inlineStr">
        <is>
          <t>Kommuner</t>
        </is>
      </c>
      <c r="G5" t="n">
        <v>9.4</v>
      </c>
      <c r="H5" t="n">
        <v>3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Björksplintborre
Tjäder
Lopplummer
Revlummer</t>
        </is>
      </c>
      <c r="S5">
        <f>HYPERLINK("https://klasma.github.io/Logging_1401/artfynd/A 14421-2024 artfynd.xlsx", "A 14421-2024")</f>
        <v/>
      </c>
      <c r="T5">
        <f>HYPERLINK("https://klasma.github.io/Logging_1401/kartor/A 14421-2024 karta.png", "A 14421-2024")</f>
        <v/>
      </c>
      <c r="V5">
        <f>HYPERLINK("https://klasma.github.io/Logging_1401/klagomål/A 14421-2024 FSC-klagomål.docx", "A 14421-2024")</f>
        <v/>
      </c>
      <c r="W5">
        <f>HYPERLINK("https://klasma.github.io/Logging_1401/klagomålsmail/A 14421-2024 FSC-klagomål mail.docx", "A 14421-2024")</f>
        <v/>
      </c>
      <c r="X5">
        <f>HYPERLINK("https://klasma.github.io/Logging_1401/tillsyn/A 14421-2024 tillsynsbegäran.docx", "A 14421-2024")</f>
        <v/>
      </c>
      <c r="Y5">
        <f>HYPERLINK("https://klasma.github.io/Logging_1401/tillsynsmail/A 14421-2024 tillsynsbegäran mail.docx", "A 14421-2024")</f>
        <v/>
      </c>
      <c r="Z5">
        <f>HYPERLINK("https://klasma.github.io/Logging_1401/fåglar/A 14421-2024 prioriterade fågelarter.docx", "A 14421-2024")</f>
        <v/>
      </c>
    </row>
    <row r="6" ht="15" customHeight="1">
      <c r="A6" t="inlineStr">
        <is>
          <t>A 18975-2019</t>
        </is>
      </c>
      <c r="B6" s="1" t="n">
        <v>43563</v>
      </c>
      <c r="C6" s="1" t="n">
        <v>45587</v>
      </c>
      <c r="D6" t="inlineStr">
        <is>
          <t>VÄSTRA GÖTALANDS LÄN</t>
        </is>
      </c>
      <c r="E6" t="inlineStr">
        <is>
          <t>HÄRRYDA</t>
        </is>
      </c>
      <c r="G6" t="n">
        <v>0.7</v>
      </c>
      <c r="H6" t="n">
        <v>3</v>
      </c>
      <c r="I6" t="n">
        <v>0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Grönfink
Stare
Vanlig groda</t>
        </is>
      </c>
      <c r="S6">
        <f>HYPERLINK("https://klasma.github.io/Logging_1401/artfynd/A 18975-2019 artfynd.xlsx", "A 18975-2019")</f>
        <v/>
      </c>
      <c r="T6">
        <f>HYPERLINK("https://klasma.github.io/Logging_1401/kartor/A 18975-2019 karta.png", "A 18975-2019")</f>
        <v/>
      </c>
      <c r="V6">
        <f>HYPERLINK("https://klasma.github.io/Logging_1401/klagomål/A 18975-2019 FSC-klagomål.docx", "A 18975-2019")</f>
        <v/>
      </c>
      <c r="W6">
        <f>HYPERLINK("https://klasma.github.io/Logging_1401/klagomålsmail/A 18975-2019 FSC-klagomål mail.docx", "A 18975-2019")</f>
        <v/>
      </c>
      <c r="X6">
        <f>HYPERLINK("https://klasma.github.io/Logging_1401/tillsyn/A 18975-2019 tillsynsbegäran.docx", "A 18975-2019")</f>
        <v/>
      </c>
      <c r="Y6">
        <f>HYPERLINK("https://klasma.github.io/Logging_1401/tillsynsmail/A 18975-2019 tillsynsbegäran mail.docx", "A 18975-2019")</f>
        <v/>
      </c>
      <c r="Z6">
        <f>HYPERLINK("https://klasma.github.io/Logging_1401/fåglar/A 18975-2019 prioriterade fågelarter.docx", "A 18975-2019")</f>
        <v/>
      </c>
    </row>
    <row r="7" ht="15" customHeight="1">
      <c r="A7" t="inlineStr">
        <is>
          <t>A 19823-2019</t>
        </is>
      </c>
      <c r="B7" s="1" t="n">
        <v>43567</v>
      </c>
      <c r="C7" s="1" t="n">
        <v>45587</v>
      </c>
      <c r="D7" t="inlineStr">
        <is>
          <t>VÄSTRA GÖTALANDS LÄN</t>
        </is>
      </c>
      <c r="E7" t="inlineStr">
        <is>
          <t>HÄRRYDA</t>
        </is>
      </c>
      <c r="G7" t="n">
        <v>1.8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Åkergroda
Vanlig padda</t>
        </is>
      </c>
      <c r="S7">
        <f>HYPERLINK("https://klasma.github.io/Logging_1401/artfynd/A 19823-2019 artfynd.xlsx", "A 19823-2019")</f>
        <v/>
      </c>
      <c r="T7">
        <f>HYPERLINK("https://klasma.github.io/Logging_1401/kartor/A 19823-2019 karta.png", "A 19823-2019")</f>
        <v/>
      </c>
      <c r="V7">
        <f>HYPERLINK("https://klasma.github.io/Logging_1401/klagomål/A 19823-2019 FSC-klagomål.docx", "A 19823-2019")</f>
        <v/>
      </c>
      <c r="W7">
        <f>HYPERLINK("https://klasma.github.io/Logging_1401/klagomålsmail/A 19823-2019 FSC-klagomål mail.docx", "A 19823-2019")</f>
        <v/>
      </c>
      <c r="X7">
        <f>HYPERLINK("https://klasma.github.io/Logging_1401/tillsyn/A 19823-2019 tillsynsbegäran.docx", "A 19823-2019")</f>
        <v/>
      </c>
      <c r="Y7">
        <f>HYPERLINK("https://klasma.github.io/Logging_1401/tillsynsmail/A 19823-2019 tillsynsbegäran mail.docx", "A 19823-2019")</f>
        <v/>
      </c>
    </row>
    <row r="8" ht="15" customHeight="1">
      <c r="A8" t="inlineStr">
        <is>
          <t>A 59467-2020</t>
        </is>
      </c>
      <c r="B8" s="1" t="n">
        <v>44148</v>
      </c>
      <c r="C8" s="1" t="n">
        <v>45587</v>
      </c>
      <c r="D8" t="inlineStr">
        <is>
          <t>VÄSTRA GÖTALANDS LÄN</t>
        </is>
      </c>
      <c r="E8" t="inlineStr">
        <is>
          <t>HÄRRYDA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Kungsfågel
Nattskärra
Vanlig groda</t>
        </is>
      </c>
      <c r="S8">
        <f>HYPERLINK("https://klasma.github.io/Logging_1401/artfynd/A 59467-2020 artfynd.xlsx", "A 59467-2020")</f>
        <v/>
      </c>
      <c r="T8">
        <f>HYPERLINK("https://klasma.github.io/Logging_1401/kartor/A 59467-2020 karta.png", "A 59467-2020")</f>
        <v/>
      </c>
      <c r="V8">
        <f>HYPERLINK("https://klasma.github.io/Logging_1401/klagomål/A 59467-2020 FSC-klagomål.docx", "A 59467-2020")</f>
        <v/>
      </c>
      <c r="W8">
        <f>HYPERLINK("https://klasma.github.io/Logging_1401/klagomålsmail/A 59467-2020 FSC-klagomål mail.docx", "A 59467-2020")</f>
        <v/>
      </c>
      <c r="X8">
        <f>HYPERLINK("https://klasma.github.io/Logging_1401/tillsyn/A 59467-2020 tillsynsbegäran.docx", "A 59467-2020")</f>
        <v/>
      </c>
      <c r="Y8">
        <f>HYPERLINK("https://klasma.github.io/Logging_1401/tillsynsmail/A 59467-2020 tillsynsbegäran mail.docx", "A 59467-2020")</f>
        <v/>
      </c>
      <c r="Z8">
        <f>HYPERLINK("https://klasma.github.io/Logging_1401/fåglar/A 59467-2020 prioriterade fågelarter.docx", "A 59467-2020")</f>
        <v/>
      </c>
    </row>
    <row r="9" ht="15" customHeight="1">
      <c r="A9" t="inlineStr">
        <is>
          <t>A 25441-2022</t>
        </is>
      </c>
      <c r="B9" s="1" t="n">
        <v>44732</v>
      </c>
      <c r="C9" s="1" t="n">
        <v>45587</v>
      </c>
      <c r="D9" t="inlineStr">
        <is>
          <t>VÄSTRA GÖTALANDS LÄN</t>
        </is>
      </c>
      <c r="E9" t="inlineStr">
        <is>
          <t>HÄRRYDA</t>
        </is>
      </c>
      <c r="G9" t="n">
        <v>0.5</v>
      </c>
      <c r="H9" t="n">
        <v>3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Svartvit flugsnappare
Vanlig groda</t>
        </is>
      </c>
      <c r="S9">
        <f>HYPERLINK("https://klasma.github.io/Logging_1401/artfynd/A 25441-2022 artfynd.xlsx", "A 25441-2022")</f>
        <v/>
      </c>
      <c r="T9">
        <f>HYPERLINK("https://klasma.github.io/Logging_1401/kartor/A 25441-2022 karta.png", "A 25441-2022")</f>
        <v/>
      </c>
      <c r="V9">
        <f>HYPERLINK("https://klasma.github.io/Logging_1401/klagomål/A 25441-2022 FSC-klagomål.docx", "A 25441-2022")</f>
        <v/>
      </c>
      <c r="W9">
        <f>HYPERLINK("https://klasma.github.io/Logging_1401/klagomålsmail/A 25441-2022 FSC-klagomål mail.docx", "A 25441-2022")</f>
        <v/>
      </c>
      <c r="X9">
        <f>HYPERLINK("https://klasma.github.io/Logging_1401/tillsyn/A 25441-2022 tillsynsbegäran.docx", "A 25441-2022")</f>
        <v/>
      </c>
      <c r="Y9">
        <f>HYPERLINK("https://klasma.github.io/Logging_1401/tillsynsmail/A 25441-2022 tillsynsbegäran mail.docx", "A 25441-2022")</f>
        <v/>
      </c>
      <c r="Z9">
        <f>HYPERLINK("https://klasma.github.io/Logging_1401/fåglar/A 25441-2022 prioriterade fågelarter.docx", "A 25441-2022")</f>
        <v/>
      </c>
    </row>
    <row r="10" ht="15" customHeight="1">
      <c r="A10" t="inlineStr">
        <is>
          <t>A 12618-2021</t>
        </is>
      </c>
      <c r="B10" s="1" t="n">
        <v>44270</v>
      </c>
      <c r="C10" s="1" t="n">
        <v>45587</v>
      </c>
      <c r="D10" t="inlineStr">
        <is>
          <t>VÄSTRA GÖTALANDS LÄN</t>
        </is>
      </c>
      <c r="E10" t="inlineStr">
        <is>
          <t>HÄRRYDA</t>
        </is>
      </c>
      <c r="G10" t="n">
        <v>8.699999999999999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Kattfotslav</t>
        </is>
      </c>
      <c r="S10">
        <f>HYPERLINK("https://klasma.github.io/Logging_1401/artfynd/A 12618-2021 artfynd.xlsx", "A 12618-2021")</f>
        <v/>
      </c>
      <c r="T10">
        <f>HYPERLINK("https://klasma.github.io/Logging_1401/kartor/A 12618-2021 karta.png", "A 12618-2021")</f>
        <v/>
      </c>
      <c r="V10">
        <f>HYPERLINK("https://klasma.github.io/Logging_1401/klagomål/A 12618-2021 FSC-klagomål.docx", "A 12618-2021")</f>
        <v/>
      </c>
      <c r="W10">
        <f>HYPERLINK("https://klasma.github.io/Logging_1401/klagomålsmail/A 12618-2021 FSC-klagomål mail.docx", "A 12618-2021")</f>
        <v/>
      </c>
      <c r="X10">
        <f>HYPERLINK("https://klasma.github.io/Logging_1401/tillsyn/A 12618-2021 tillsynsbegäran.docx", "A 12618-2021")</f>
        <v/>
      </c>
      <c r="Y10">
        <f>HYPERLINK("https://klasma.github.io/Logging_1401/tillsynsmail/A 12618-2021 tillsynsbegäran mail.docx", "A 12618-2021")</f>
        <v/>
      </c>
    </row>
    <row r="11" ht="15" customHeight="1">
      <c r="A11" t="inlineStr">
        <is>
          <t>A 55708-2023</t>
        </is>
      </c>
      <c r="B11" s="1" t="n">
        <v>45239</v>
      </c>
      <c r="C11" s="1" t="n">
        <v>45587</v>
      </c>
      <c r="D11" t="inlineStr">
        <is>
          <t>VÄSTRA GÖTALANDS LÄN</t>
        </is>
      </c>
      <c r="E11" t="inlineStr">
        <is>
          <t>HÄRRYDA</t>
        </is>
      </c>
      <c r="G11" t="n">
        <v>5.4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Grönhjon
Talltita</t>
        </is>
      </c>
      <c r="S11">
        <f>HYPERLINK("https://klasma.github.io/Logging_1401/artfynd/A 55708-2023 artfynd.xlsx", "A 55708-2023")</f>
        <v/>
      </c>
      <c r="T11">
        <f>HYPERLINK("https://klasma.github.io/Logging_1401/kartor/A 55708-2023 karta.png", "A 55708-2023")</f>
        <v/>
      </c>
      <c r="V11">
        <f>HYPERLINK("https://klasma.github.io/Logging_1401/klagomål/A 55708-2023 FSC-klagomål.docx", "A 55708-2023")</f>
        <v/>
      </c>
      <c r="W11">
        <f>HYPERLINK("https://klasma.github.io/Logging_1401/klagomålsmail/A 55708-2023 FSC-klagomål mail.docx", "A 55708-2023")</f>
        <v/>
      </c>
      <c r="X11">
        <f>HYPERLINK("https://klasma.github.io/Logging_1401/tillsyn/A 55708-2023 tillsynsbegäran.docx", "A 55708-2023")</f>
        <v/>
      </c>
      <c r="Y11">
        <f>HYPERLINK("https://klasma.github.io/Logging_1401/tillsynsmail/A 55708-2023 tillsynsbegäran mail.docx", "A 55708-2023")</f>
        <v/>
      </c>
      <c r="Z11">
        <f>HYPERLINK("https://klasma.github.io/Logging_1401/fåglar/A 55708-2023 prioriterade fågelarter.docx", "A 55708-2023")</f>
        <v/>
      </c>
    </row>
    <row r="12" ht="15" customHeight="1">
      <c r="A12" t="inlineStr">
        <is>
          <t>A 23578-2019</t>
        </is>
      </c>
      <c r="B12" s="1" t="n">
        <v>43594</v>
      </c>
      <c r="C12" s="1" t="n">
        <v>45587</v>
      </c>
      <c r="D12" t="inlineStr">
        <is>
          <t>VÄSTRA GÖTALANDS LÄN</t>
        </is>
      </c>
      <c r="E12" t="inlineStr">
        <is>
          <t>HÄRRYDA</t>
        </is>
      </c>
      <c r="G12" t="n">
        <v>4.1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HYPERLINK("https://klasma.github.io/Logging_1401/artfynd/A 23578-2019 artfynd.xlsx", "A 23578-2019")</f>
        <v/>
      </c>
      <c r="T12">
        <f>HYPERLINK("https://klasma.github.io/Logging_1401/kartor/A 23578-2019 karta.png", "A 23578-2019")</f>
        <v/>
      </c>
      <c r="V12">
        <f>HYPERLINK("https://klasma.github.io/Logging_1401/klagomål/A 23578-2019 FSC-klagomål.docx", "A 23578-2019")</f>
        <v/>
      </c>
      <c r="W12">
        <f>HYPERLINK("https://klasma.github.io/Logging_1401/klagomålsmail/A 23578-2019 FSC-klagomål mail.docx", "A 23578-2019")</f>
        <v/>
      </c>
      <c r="X12">
        <f>HYPERLINK("https://klasma.github.io/Logging_1401/tillsyn/A 23578-2019 tillsynsbegäran.docx", "A 23578-2019")</f>
        <v/>
      </c>
      <c r="Y12">
        <f>HYPERLINK("https://klasma.github.io/Logging_1401/tillsynsmail/A 23578-2019 tillsynsbegäran mail.docx", "A 23578-2019")</f>
        <v/>
      </c>
      <c r="Z12">
        <f>HYPERLINK("https://klasma.github.io/Logging_1401/fåglar/A 23578-2019 prioriterade fågelarter.docx", "A 23578-2019")</f>
        <v/>
      </c>
    </row>
    <row r="13" ht="15" customHeight="1">
      <c r="A13" t="inlineStr">
        <is>
          <t>A 52875-2019</t>
        </is>
      </c>
      <c r="B13" s="1" t="n">
        <v>43746</v>
      </c>
      <c r="C13" s="1" t="n">
        <v>45587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HYPERLINK("https://klasma.github.io/Logging_1401/artfynd/A 52875-2019 artfynd.xlsx", "A 52875-2019")</f>
        <v/>
      </c>
      <c r="T13">
        <f>HYPERLINK("https://klasma.github.io/Logging_1401/kartor/A 52875-2019 karta.png", "A 52875-2019")</f>
        <v/>
      </c>
      <c r="V13">
        <f>HYPERLINK("https://klasma.github.io/Logging_1401/klagomål/A 52875-2019 FSC-klagomål.docx", "A 52875-2019")</f>
        <v/>
      </c>
      <c r="W13">
        <f>HYPERLINK("https://klasma.github.io/Logging_1401/klagomålsmail/A 52875-2019 FSC-klagomål mail.docx", "A 52875-2019")</f>
        <v/>
      </c>
      <c r="X13">
        <f>HYPERLINK("https://klasma.github.io/Logging_1401/tillsyn/A 52875-2019 tillsynsbegäran.docx", "A 52875-2019")</f>
        <v/>
      </c>
      <c r="Y13">
        <f>HYPERLINK("https://klasma.github.io/Logging_1401/tillsynsmail/A 52875-2019 tillsynsbegäran mail.docx", "A 52875-2019")</f>
        <v/>
      </c>
      <c r="Z13">
        <f>HYPERLINK("https://klasma.github.io/Logging_1401/fåglar/A 52875-2019 prioriterade fågelarter.docx", "A 52875-2019")</f>
        <v/>
      </c>
    </row>
    <row r="14" ht="15" customHeight="1">
      <c r="A14" t="inlineStr">
        <is>
          <t>A 14791-2020</t>
        </is>
      </c>
      <c r="B14" s="1" t="n">
        <v>43909</v>
      </c>
      <c r="C14" s="1" t="n">
        <v>45587</v>
      </c>
      <c r="D14" t="inlineStr">
        <is>
          <t>VÄSTRA GÖTALANDS LÄN</t>
        </is>
      </c>
      <c r="E14" t="inlineStr">
        <is>
          <t>HÄRRYDA</t>
        </is>
      </c>
      <c r="F14" t="inlineStr">
        <is>
          <t>Kommuner</t>
        </is>
      </c>
      <c r="G14" t="n">
        <v>1.8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HYPERLINK("https://klasma.github.io/Logging_1401/artfynd/A 14791-2020 artfynd.xlsx", "A 14791-2020")</f>
        <v/>
      </c>
      <c r="T14">
        <f>HYPERLINK("https://klasma.github.io/Logging_1401/kartor/A 14791-2020 karta.png", "A 14791-2020")</f>
        <v/>
      </c>
      <c r="V14">
        <f>HYPERLINK("https://klasma.github.io/Logging_1401/klagomål/A 14791-2020 FSC-klagomål.docx", "A 14791-2020")</f>
        <v/>
      </c>
      <c r="W14">
        <f>HYPERLINK("https://klasma.github.io/Logging_1401/klagomålsmail/A 14791-2020 FSC-klagomål mail.docx", "A 14791-2020")</f>
        <v/>
      </c>
      <c r="X14">
        <f>HYPERLINK("https://klasma.github.io/Logging_1401/tillsyn/A 14791-2020 tillsynsbegäran.docx", "A 14791-2020")</f>
        <v/>
      </c>
      <c r="Y14">
        <f>HYPERLINK("https://klasma.github.io/Logging_1401/tillsynsmail/A 14791-2020 tillsynsbegäran mail.docx", "A 14791-2020")</f>
        <v/>
      </c>
    </row>
    <row r="15" ht="15" customHeight="1">
      <c r="A15" t="inlineStr">
        <is>
          <t>A 18853-2020</t>
        </is>
      </c>
      <c r="B15" s="1" t="n">
        <v>43929</v>
      </c>
      <c r="C15" s="1" t="n">
        <v>45587</v>
      </c>
      <c r="D15" t="inlineStr">
        <is>
          <t>VÄSTRA GÖTALANDS LÄN</t>
        </is>
      </c>
      <c r="E15" t="inlineStr">
        <is>
          <t>HÄRRYDA</t>
        </is>
      </c>
      <c r="G15" t="n">
        <v>0.7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HYPERLINK("https://klasma.github.io/Logging_1401/artfynd/A 18853-2020 artfynd.xlsx", "A 18853-2020")</f>
        <v/>
      </c>
      <c r="T15">
        <f>HYPERLINK("https://klasma.github.io/Logging_1401/kartor/A 18853-2020 karta.png", "A 18853-2020")</f>
        <v/>
      </c>
      <c r="V15">
        <f>HYPERLINK("https://klasma.github.io/Logging_1401/klagomål/A 18853-2020 FSC-klagomål.docx", "A 18853-2020")</f>
        <v/>
      </c>
      <c r="W15">
        <f>HYPERLINK("https://klasma.github.io/Logging_1401/klagomålsmail/A 18853-2020 FSC-klagomål mail.docx", "A 18853-2020")</f>
        <v/>
      </c>
      <c r="X15">
        <f>HYPERLINK("https://klasma.github.io/Logging_1401/tillsyn/A 18853-2020 tillsynsbegäran.docx", "A 18853-2020")</f>
        <v/>
      </c>
      <c r="Y15">
        <f>HYPERLINK("https://klasma.github.io/Logging_1401/tillsynsmail/A 18853-2020 tillsynsbegäran mail.docx", "A 18853-2020")</f>
        <v/>
      </c>
    </row>
    <row r="16" ht="15" customHeight="1">
      <c r="A16" t="inlineStr">
        <is>
          <t>A 64734-2020</t>
        </is>
      </c>
      <c r="B16" s="1" t="n">
        <v>44169</v>
      </c>
      <c r="C16" s="1" t="n">
        <v>45587</v>
      </c>
      <c r="D16" t="inlineStr">
        <is>
          <t>VÄSTRA GÖTALANDS LÄN</t>
        </is>
      </c>
      <c r="E16" t="inlineStr">
        <is>
          <t>HÄRRYDA</t>
        </is>
      </c>
      <c r="G16" t="n">
        <v>4.1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HYPERLINK("https://klasma.github.io/Logging_1401/artfynd/A 64734-2020 artfynd.xlsx", "A 64734-2020")</f>
        <v/>
      </c>
      <c r="T16">
        <f>HYPERLINK("https://klasma.github.io/Logging_1401/kartor/A 64734-2020 karta.png", "A 64734-2020")</f>
        <v/>
      </c>
      <c r="V16">
        <f>HYPERLINK("https://klasma.github.io/Logging_1401/klagomål/A 64734-2020 FSC-klagomål.docx", "A 64734-2020")</f>
        <v/>
      </c>
      <c r="W16">
        <f>HYPERLINK("https://klasma.github.io/Logging_1401/klagomålsmail/A 64734-2020 FSC-klagomål mail.docx", "A 64734-2020")</f>
        <v/>
      </c>
      <c r="X16">
        <f>HYPERLINK("https://klasma.github.io/Logging_1401/tillsyn/A 64734-2020 tillsynsbegäran.docx", "A 64734-2020")</f>
        <v/>
      </c>
      <c r="Y16">
        <f>HYPERLINK("https://klasma.github.io/Logging_1401/tillsynsmail/A 64734-2020 tillsynsbegäran mail.docx", "A 64734-2020")</f>
        <v/>
      </c>
      <c r="Z16">
        <f>HYPERLINK("https://klasma.github.io/Logging_1401/fåglar/A 64734-2020 prioriterade fågelarter.docx", "A 64734-2020")</f>
        <v/>
      </c>
    </row>
    <row r="17" ht="15" customHeight="1">
      <c r="A17" t="inlineStr">
        <is>
          <t>A 7814-2021</t>
        </is>
      </c>
      <c r="B17" s="1" t="n">
        <v>44242</v>
      </c>
      <c r="C17" s="1" t="n">
        <v>45587</v>
      </c>
      <c r="D17" t="inlineStr">
        <is>
          <t>VÄSTRA GÖTALANDS LÄN</t>
        </is>
      </c>
      <c r="E17" t="inlineStr">
        <is>
          <t>HÄRRYDA</t>
        </is>
      </c>
      <c r="G17" t="n">
        <v>1.1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Kattfotslav</t>
        </is>
      </c>
      <c r="S17">
        <f>HYPERLINK("https://klasma.github.io/Logging_1401/artfynd/A 7814-2021 artfynd.xlsx", "A 7814-2021")</f>
        <v/>
      </c>
      <c r="T17">
        <f>HYPERLINK("https://klasma.github.io/Logging_1401/kartor/A 7814-2021 karta.png", "A 7814-2021")</f>
        <v/>
      </c>
      <c r="V17">
        <f>HYPERLINK("https://klasma.github.io/Logging_1401/klagomål/A 7814-2021 FSC-klagomål.docx", "A 7814-2021")</f>
        <v/>
      </c>
      <c r="W17">
        <f>HYPERLINK("https://klasma.github.io/Logging_1401/klagomålsmail/A 7814-2021 FSC-klagomål mail.docx", "A 7814-2021")</f>
        <v/>
      </c>
      <c r="X17">
        <f>HYPERLINK("https://klasma.github.io/Logging_1401/tillsyn/A 7814-2021 tillsynsbegäran.docx", "A 7814-2021")</f>
        <v/>
      </c>
      <c r="Y17">
        <f>HYPERLINK("https://klasma.github.io/Logging_1401/tillsynsmail/A 7814-2021 tillsynsbegäran mail.docx", "A 7814-2021")</f>
        <v/>
      </c>
    </row>
    <row r="18" ht="15" customHeight="1">
      <c r="A18" t="inlineStr">
        <is>
          <t>A 53203-2021</t>
        </is>
      </c>
      <c r="B18" s="1" t="n">
        <v>44468</v>
      </c>
      <c r="C18" s="1" t="n">
        <v>45587</v>
      </c>
      <c r="D18" t="inlineStr">
        <is>
          <t>VÄSTRA GÖTALANDS LÄN</t>
        </is>
      </c>
      <c r="E18" t="inlineStr">
        <is>
          <t>HÄRRYDA</t>
        </is>
      </c>
      <c r="G18" t="n">
        <v>1.3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revmossa</t>
        </is>
      </c>
      <c r="S18">
        <f>HYPERLINK("https://klasma.github.io/Logging_1401/artfynd/A 53203-2021 artfynd.xlsx", "A 53203-2021")</f>
        <v/>
      </c>
      <c r="T18">
        <f>HYPERLINK("https://klasma.github.io/Logging_1401/kartor/A 53203-2021 karta.png", "A 53203-2021")</f>
        <v/>
      </c>
      <c r="V18">
        <f>HYPERLINK("https://klasma.github.io/Logging_1401/klagomål/A 53203-2021 FSC-klagomål.docx", "A 53203-2021")</f>
        <v/>
      </c>
      <c r="W18">
        <f>HYPERLINK("https://klasma.github.io/Logging_1401/klagomålsmail/A 53203-2021 FSC-klagomål mail.docx", "A 53203-2021")</f>
        <v/>
      </c>
      <c r="X18">
        <f>HYPERLINK("https://klasma.github.io/Logging_1401/tillsyn/A 53203-2021 tillsynsbegäran.docx", "A 53203-2021")</f>
        <v/>
      </c>
      <c r="Y18">
        <f>HYPERLINK("https://klasma.github.io/Logging_1401/tillsynsmail/A 53203-2021 tillsynsbegäran mail.docx", "A 53203-2021")</f>
        <v/>
      </c>
    </row>
    <row r="19" ht="15" customHeight="1">
      <c r="A19" t="inlineStr">
        <is>
          <t>A 64860-2021</t>
        </is>
      </c>
      <c r="B19" s="1" t="n">
        <v>44512</v>
      </c>
      <c r="C19" s="1" t="n">
        <v>45587</v>
      </c>
      <c r="D19" t="inlineStr">
        <is>
          <t>VÄSTRA GÖTALANDS LÄN</t>
        </is>
      </c>
      <c r="E19" t="inlineStr">
        <is>
          <t>HÄRRYDA</t>
        </is>
      </c>
      <c r="F19" t="inlineStr">
        <is>
          <t>Kommuner</t>
        </is>
      </c>
      <c r="G19" t="n">
        <v>21.3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HYPERLINK("https://klasma.github.io/Logging_1401/artfynd/A 64860-2021 artfynd.xlsx", "A 64860-2021")</f>
        <v/>
      </c>
      <c r="T19">
        <f>HYPERLINK("https://klasma.github.io/Logging_1401/kartor/A 64860-2021 karta.png", "A 64860-2021")</f>
        <v/>
      </c>
      <c r="V19">
        <f>HYPERLINK("https://klasma.github.io/Logging_1401/klagomål/A 64860-2021 FSC-klagomål.docx", "A 64860-2021")</f>
        <v/>
      </c>
      <c r="W19">
        <f>HYPERLINK("https://klasma.github.io/Logging_1401/klagomålsmail/A 64860-2021 FSC-klagomål mail.docx", "A 64860-2021")</f>
        <v/>
      </c>
      <c r="X19">
        <f>HYPERLINK("https://klasma.github.io/Logging_1401/tillsyn/A 64860-2021 tillsynsbegäran.docx", "A 64860-2021")</f>
        <v/>
      </c>
      <c r="Y19">
        <f>HYPERLINK("https://klasma.github.io/Logging_1401/tillsynsmail/A 64860-2021 tillsynsbegäran mail.docx", "A 64860-2021")</f>
        <v/>
      </c>
    </row>
    <row r="20" ht="15" customHeight="1">
      <c r="A20" t="inlineStr">
        <is>
          <t>A 20640-2022</t>
        </is>
      </c>
      <c r="B20" s="1" t="n">
        <v>44700</v>
      </c>
      <c r="C20" s="1" t="n">
        <v>45587</v>
      </c>
      <c r="D20" t="inlineStr">
        <is>
          <t>VÄSTRA GÖTALANDS LÄN</t>
        </is>
      </c>
      <c r="E20" t="inlineStr">
        <is>
          <t>HÄRRYDA</t>
        </is>
      </c>
      <c r="G20" t="n">
        <v>0.5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HYPERLINK("https://klasma.github.io/Logging_1401/artfynd/A 20640-2022 artfynd.xlsx", "A 20640-2022")</f>
        <v/>
      </c>
      <c r="T20">
        <f>HYPERLINK("https://klasma.github.io/Logging_1401/kartor/A 20640-2022 karta.png", "A 20640-2022")</f>
        <v/>
      </c>
      <c r="V20">
        <f>HYPERLINK("https://klasma.github.io/Logging_1401/klagomål/A 20640-2022 FSC-klagomål.docx", "A 20640-2022")</f>
        <v/>
      </c>
      <c r="W20">
        <f>HYPERLINK("https://klasma.github.io/Logging_1401/klagomålsmail/A 20640-2022 FSC-klagomål mail.docx", "A 20640-2022")</f>
        <v/>
      </c>
      <c r="X20">
        <f>HYPERLINK("https://klasma.github.io/Logging_1401/tillsyn/A 20640-2022 tillsynsbegäran.docx", "A 20640-2022")</f>
        <v/>
      </c>
      <c r="Y20">
        <f>HYPERLINK("https://klasma.github.io/Logging_1401/tillsynsmail/A 20640-2022 tillsynsbegäran mail.docx", "A 20640-2022")</f>
        <v/>
      </c>
    </row>
    <row r="21" ht="15" customHeight="1">
      <c r="A21" t="inlineStr">
        <is>
          <t>A 16802-2023</t>
        </is>
      </c>
      <c r="B21" s="1" t="n">
        <v>45033</v>
      </c>
      <c r="C21" s="1" t="n">
        <v>45587</v>
      </c>
      <c r="D21" t="inlineStr">
        <is>
          <t>VÄSTRA GÖTALANDS LÄN</t>
        </is>
      </c>
      <c r="E21" t="inlineStr">
        <is>
          <t>HÄRRYDA</t>
        </is>
      </c>
      <c r="G21" t="n">
        <v>6.5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HYPERLINK("https://klasma.github.io/Logging_1401/artfynd/A 16802-2023 artfynd.xlsx", "A 16802-2023")</f>
        <v/>
      </c>
      <c r="T21">
        <f>HYPERLINK("https://klasma.github.io/Logging_1401/kartor/A 16802-2023 karta.png", "A 16802-2023")</f>
        <v/>
      </c>
      <c r="V21">
        <f>HYPERLINK("https://klasma.github.io/Logging_1401/klagomål/A 16802-2023 FSC-klagomål.docx", "A 16802-2023")</f>
        <v/>
      </c>
      <c r="W21">
        <f>HYPERLINK("https://klasma.github.io/Logging_1401/klagomålsmail/A 16802-2023 FSC-klagomål mail.docx", "A 16802-2023")</f>
        <v/>
      </c>
      <c r="X21">
        <f>HYPERLINK("https://klasma.github.io/Logging_1401/tillsyn/A 16802-2023 tillsynsbegäran.docx", "A 16802-2023")</f>
        <v/>
      </c>
      <c r="Y21">
        <f>HYPERLINK("https://klasma.github.io/Logging_1401/tillsynsmail/A 16802-2023 tillsynsbegäran mail.docx", "A 16802-2023")</f>
        <v/>
      </c>
      <c r="Z21">
        <f>HYPERLINK("https://klasma.github.io/Logging_1401/fåglar/A 16802-2023 prioriterade fågelarter.docx", "A 16802-2023")</f>
        <v/>
      </c>
    </row>
    <row r="22" ht="15" customHeight="1">
      <c r="A22" t="inlineStr">
        <is>
          <t>A 21101-2023</t>
        </is>
      </c>
      <c r="B22" s="1" t="n">
        <v>45061</v>
      </c>
      <c r="C22" s="1" t="n">
        <v>45587</v>
      </c>
      <c r="D22" t="inlineStr">
        <is>
          <t>VÄSTRA GÖTALANDS LÄN</t>
        </is>
      </c>
      <c r="E22" t="inlineStr">
        <is>
          <t>HÄRRYDA</t>
        </is>
      </c>
      <c r="G22" t="n">
        <v>0.5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Åkergroda</t>
        </is>
      </c>
      <c r="S22">
        <f>HYPERLINK("https://klasma.github.io/Logging_1401/artfynd/A 21101-2023 artfynd.xlsx", "A 21101-2023")</f>
        <v/>
      </c>
      <c r="T22">
        <f>HYPERLINK("https://klasma.github.io/Logging_1401/kartor/A 21101-2023 karta.png", "A 21101-2023")</f>
        <v/>
      </c>
      <c r="V22">
        <f>HYPERLINK("https://klasma.github.io/Logging_1401/klagomål/A 21101-2023 FSC-klagomål.docx", "A 21101-2023")</f>
        <v/>
      </c>
      <c r="W22">
        <f>HYPERLINK("https://klasma.github.io/Logging_1401/klagomålsmail/A 21101-2023 FSC-klagomål mail.docx", "A 21101-2023")</f>
        <v/>
      </c>
      <c r="X22">
        <f>HYPERLINK("https://klasma.github.io/Logging_1401/tillsyn/A 21101-2023 tillsynsbegäran.docx", "A 21101-2023")</f>
        <v/>
      </c>
      <c r="Y22">
        <f>HYPERLINK("https://klasma.github.io/Logging_1401/tillsynsmail/A 21101-2023 tillsynsbegäran mail.docx", "A 21101-2023")</f>
        <v/>
      </c>
    </row>
    <row r="23" ht="15" customHeight="1">
      <c r="A23" t="inlineStr">
        <is>
          <t>A 26330-2023</t>
        </is>
      </c>
      <c r="B23" s="1" t="n">
        <v>45091</v>
      </c>
      <c r="C23" s="1" t="n">
        <v>45587</v>
      </c>
      <c r="D23" t="inlineStr">
        <is>
          <t>VÄSTRA GÖTALANDS LÄN</t>
        </is>
      </c>
      <c r="E23" t="inlineStr">
        <is>
          <t>HÄRRYDA</t>
        </is>
      </c>
      <c r="G23" t="n">
        <v>1.9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HYPERLINK("https://klasma.github.io/Logging_1401/artfynd/A 26330-2023 artfynd.xlsx", "A 26330-2023")</f>
        <v/>
      </c>
      <c r="T23">
        <f>HYPERLINK("https://klasma.github.io/Logging_1401/kartor/A 26330-2023 karta.png", "A 26330-2023")</f>
        <v/>
      </c>
      <c r="V23">
        <f>HYPERLINK("https://klasma.github.io/Logging_1401/klagomål/A 26330-2023 FSC-klagomål.docx", "A 26330-2023")</f>
        <v/>
      </c>
      <c r="W23">
        <f>HYPERLINK("https://klasma.github.io/Logging_1401/klagomålsmail/A 26330-2023 FSC-klagomål mail.docx", "A 26330-2023")</f>
        <v/>
      </c>
      <c r="X23">
        <f>HYPERLINK("https://klasma.github.io/Logging_1401/tillsyn/A 26330-2023 tillsynsbegäran.docx", "A 26330-2023")</f>
        <v/>
      </c>
      <c r="Y23">
        <f>HYPERLINK("https://klasma.github.io/Logging_1401/tillsynsmail/A 26330-2023 tillsynsbegäran mail.docx", "A 26330-2023")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45587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45587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45587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43202-2024</t>
        </is>
      </c>
      <c r="B27" s="1" t="n">
        <v>45567</v>
      </c>
      <c r="C27" s="1" t="n">
        <v>45587</v>
      </c>
      <c r="D27" t="inlineStr">
        <is>
          <t>VÄSTRA GÖTALANDS LÄN</t>
        </is>
      </c>
      <c r="E27" t="inlineStr">
        <is>
          <t>HÄRRYDA</t>
        </is>
      </c>
      <c r="G27" t="n">
        <v>5.3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HYPERLINK("https://klasma.github.io/Logging_1401/artfynd/A 43202-2024 artfynd.xlsx", "A 43202-2024")</f>
        <v/>
      </c>
      <c r="T27">
        <f>HYPERLINK("https://klasma.github.io/Logging_1401/kartor/A 43202-2024 karta.png", "A 43202-2024")</f>
        <v/>
      </c>
      <c r="V27">
        <f>HYPERLINK("https://klasma.github.io/Logging_1401/klagomål/A 43202-2024 FSC-klagomål.docx", "A 43202-2024")</f>
        <v/>
      </c>
      <c r="W27">
        <f>HYPERLINK("https://klasma.github.io/Logging_1401/klagomålsmail/A 43202-2024 FSC-klagomål mail.docx", "A 43202-2024")</f>
        <v/>
      </c>
      <c r="X27">
        <f>HYPERLINK("https://klasma.github.io/Logging_1401/tillsyn/A 43202-2024 tillsynsbegäran.docx", "A 43202-2024")</f>
        <v/>
      </c>
      <c r="Y27">
        <f>HYPERLINK("https://klasma.github.io/Logging_1401/tillsynsmail/A 43202-2024 tillsynsbegäran mail.docx", "A 43202-2024")</f>
        <v/>
      </c>
    </row>
    <row r="28" ht="15" customHeight="1">
      <c r="A28" t="inlineStr">
        <is>
          <t>A 18489-2019</t>
        </is>
      </c>
      <c r="B28" s="1" t="n">
        <v>43559</v>
      </c>
      <c r="C28" s="1" t="n">
        <v>45587</v>
      </c>
      <c r="D28" t="inlineStr">
        <is>
          <t>VÄSTRA GÖTALANDS LÄN</t>
        </is>
      </c>
      <c r="E28" t="inlineStr">
        <is>
          <t>HÄRRYDA</t>
        </is>
      </c>
      <c r="G28" t="n">
        <v>5.7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19200-2019</t>
        </is>
      </c>
      <c r="B29" s="1" t="n">
        <v>43564</v>
      </c>
      <c r="C29" s="1" t="n">
        <v>45587</v>
      </c>
      <c r="D29" t="inlineStr">
        <is>
          <t>VÄSTRA GÖTALANDS LÄN</t>
        </is>
      </c>
      <c r="E29" t="inlineStr">
        <is>
          <t>HÄRRYDA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19688-2019</t>
        </is>
      </c>
      <c r="B30" s="1" t="n">
        <v>43566</v>
      </c>
      <c r="C30" s="1" t="n">
        <v>45587</v>
      </c>
      <c r="D30" t="inlineStr">
        <is>
          <t>VÄSTRA GÖTALANDS LÄN</t>
        </is>
      </c>
      <c r="E30" t="inlineStr">
        <is>
          <t>HÄRRYDA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19826-2019</t>
        </is>
      </c>
      <c r="B31" s="1" t="n">
        <v>43567</v>
      </c>
      <c r="C31" s="1" t="n">
        <v>45587</v>
      </c>
      <c r="D31" t="inlineStr">
        <is>
          <t>VÄSTRA GÖTALANDS LÄN</t>
        </is>
      </c>
      <c r="E31" t="inlineStr">
        <is>
          <t>HÄRRYDA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20315-2019</t>
        </is>
      </c>
      <c r="B32" s="1" t="n">
        <v>43570</v>
      </c>
      <c r="C32" s="1" t="n">
        <v>45587</v>
      </c>
      <c r="D32" t="inlineStr">
        <is>
          <t>VÄSTRA GÖTALANDS LÄN</t>
        </is>
      </c>
      <c r="E32" t="inlineStr">
        <is>
          <t>HÄRRYDA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22530-2019</t>
        </is>
      </c>
      <c r="B33" s="1" t="n">
        <v>43587</v>
      </c>
      <c r="C33" s="1" t="n">
        <v>45587</v>
      </c>
      <c r="D33" t="inlineStr">
        <is>
          <t>VÄSTRA GÖTALANDS LÄN</t>
        </is>
      </c>
      <c r="E33" t="inlineStr">
        <is>
          <t>HÄRRYDA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22860-2019</t>
        </is>
      </c>
      <c r="B34" s="1" t="n">
        <v>43591</v>
      </c>
      <c r="C34" s="1" t="n">
        <v>45587</v>
      </c>
      <c r="D34" t="inlineStr">
        <is>
          <t>VÄSTRA GÖTALANDS LÄN</t>
        </is>
      </c>
      <c r="E34" t="inlineStr">
        <is>
          <t>HÄRRYDA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23408-2019</t>
        </is>
      </c>
      <c r="B35" s="1" t="n">
        <v>43593</v>
      </c>
      <c r="C35" s="1" t="n">
        <v>45587</v>
      </c>
      <c r="D35" t="inlineStr">
        <is>
          <t>VÄSTRA GÖTALANDS LÄN</t>
        </is>
      </c>
      <c r="E35" t="inlineStr">
        <is>
          <t>HÄRRYDA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30800-2019</t>
        </is>
      </c>
      <c r="B36" s="1" t="n">
        <v>43636</v>
      </c>
      <c r="C36" s="1" t="n">
        <v>45587</v>
      </c>
      <c r="D36" t="inlineStr">
        <is>
          <t>VÄSTRA GÖTALANDS LÄN</t>
        </is>
      </c>
      <c r="E36" t="inlineStr">
        <is>
          <t>HÄRRYDA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31392-2019</t>
        </is>
      </c>
      <c r="B37" s="1" t="n">
        <v>43641</v>
      </c>
      <c r="C37" s="1" t="n">
        <v>45587</v>
      </c>
      <c r="D37" t="inlineStr">
        <is>
          <t>VÄSTRA GÖTALANDS LÄN</t>
        </is>
      </c>
      <c r="E37" t="inlineStr">
        <is>
          <t>HÄRRYDA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34993-2019</t>
        </is>
      </c>
      <c r="B38" s="1" t="n">
        <v>43660</v>
      </c>
      <c r="C38" s="1" t="n">
        <v>45587</v>
      </c>
      <c r="D38" t="inlineStr">
        <is>
          <t>VÄSTRA GÖTALANDS LÄN</t>
        </is>
      </c>
      <c r="E38" t="inlineStr">
        <is>
          <t>HÄRRYDA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49797-2019</t>
        </is>
      </c>
      <c r="B39" s="1" t="n">
        <v>43733</v>
      </c>
      <c r="C39" s="1" t="n">
        <v>45587</v>
      </c>
      <c r="D39" t="inlineStr">
        <is>
          <t>VÄSTRA GÖTALANDS LÄN</t>
        </is>
      </c>
      <c r="E39" t="inlineStr">
        <is>
          <t>HÄRRYDA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49806-2019</t>
        </is>
      </c>
      <c r="B40" s="1" t="n">
        <v>43733</v>
      </c>
      <c r="C40" s="1" t="n">
        <v>45587</v>
      </c>
      <c r="D40" t="inlineStr">
        <is>
          <t>VÄSTRA GÖTALANDS LÄN</t>
        </is>
      </c>
      <c r="E40" t="inlineStr">
        <is>
          <t>HÄRRYDA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50168-2019</t>
        </is>
      </c>
      <c r="B41" s="1" t="n">
        <v>43734</v>
      </c>
      <c r="C41" s="1" t="n">
        <v>45587</v>
      </c>
      <c r="D41" t="inlineStr">
        <is>
          <t>VÄSTRA GÖTALANDS LÄN</t>
        </is>
      </c>
      <c r="E41" t="inlineStr">
        <is>
          <t>HÄRRYDA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53137-2019</t>
        </is>
      </c>
      <c r="B42" s="1" t="n">
        <v>43740</v>
      </c>
      <c r="C42" s="1" t="n">
        <v>45587</v>
      </c>
      <c r="D42" t="inlineStr">
        <is>
          <t>VÄSTRA GÖTALANDS LÄN</t>
        </is>
      </c>
      <c r="E42" t="inlineStr">
        <is>
          <t>HÄRRYDA</t>
        </is>
      </c>
      <c r="G42" t="n">
        <v>5.9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64721-2019</t>
        </is>
      </c>
      <c r="B43" s="1" t="n">
        <v>43800</v>
      </c>
      <c r="C43" s="1" t="n">
        <v>45587</v>
      </c>
      <c r="D43" t="inlineStr">
        <is>
          <t>VÄSTRA GÖTALANDS LÄN</t>
        </is>
      </c>
      <c r="E43" t="inlineStr">
        <is>
          <t>HÄRRYDA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64722-2019</t>
        </is>
      </c>
      <c r="B44" s="1" t="n">
        <v>43800</v>
      </c>
      <c r="C44" s="1" t="n">
        <v>45587</v>
      </c>
      <c r="D44" t="inlineStr">
        <is>
          <t>VÄSTRA GÖTALANDS LÄN</t>
        </is>
      </c>
      <c r="E44" t="inlineStr">
        <is>
          <t>HÄRRYDA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64724-2019</t>
        </is>
      </c>
      <c r="B45" s="1" t="n">
        <v>43800</v>
      </c>
      <c r="C45" s="1" t="n">
        <v>45587</v>
      </c>
      <c r="D45" t="inlineStr">
        <is>
          <t>VÄSTRA GÖTALANDS LÄN</t>
        </is>
      </c>
      <c r="E45" t="inlineStr">
        <is>
          <t>HÄRRYDA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65186-2019</t>
        </is>
      </c>
      <c r="B46" s="1" t="n">
        <v>43802</v>
      </c>
      <c r="C46" s="1" t="n">
        <v>45587</v>
      </c>
      <c r="D46" t="inlineStr">
        <is>
          <t>VÄSTRA GÖTALANDS LÄN</t>
        </is>
      </c>
      <c r="E46" t="inlineStr">
        <is>
          <t>HÄRRYDA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65268-2019</t>
        </is>
      </c>
      <c r="B47" s="1" t="n">
        <v>43802</v>
      </c>
      <c r="C47" s="1" t="n">
        <v>45587</v>
      </c>
      <c r="D47" t="inlineStr">
        <is>
          <t>VÄSTRA GÖTALANDS LÄN</t>
        </is>
      </c>
      <c r="E47" t="inlineStr">
        <is>
          <t>HÄRRYDA</t>
        </is>
      </c>
      <c r="G47" t="n">
        <v>7.8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65693-2019</t>
        </is>
      </c>
      <c r="B48" s="1" t="n">
        <v>43804</v>
      </c>
      <c r="C48" s="1" t="n">
        <v>45587</v>
      </c>
      <c r="D48" t="inlineStr">
        <is>
          <t>VÄSTRA GÖTALANDS LÄN</t>
        </is>
      </c>
      <c r="E48" t="inlineStr">
        <is>
          <t>HÄRRYDA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65688-2019</t>
        </is>
      </c>
      <c r="B49" s="1" t="n">
        <v>43804</v>
      </c>
      <c r="C49" s="1" t="n">
        <v>45587</v>
      </c>
      <c r="D49" t="inlineStr">
        <is>
          <t>VÄSTRA GÖTALANDS LÄN</t>
        </is>
      </c>
      <c r="E49" t="inlineStr">
        <is>
          <t>HÄRRYDA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65687-2019</t>
        </is>
      </c>
      <c r="B50" s="1" t="n">
        <v>43804</v>
      </c>
      <c r="C50" s="1" t="n">
        <v>45587</v>
      </c>
      <c r="D50" t="inlineStr">
        <is>
          <t>VÄSTRA GÖTALANDS LÄN</t>
        </is>
      </c>
      <c r="E50" t="inlineStr">
        <is>
          <t>HÄRRYDA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65670-2019</t>
        </is>
      </c>
      <c r="B51" s="1" t="n">
        <v>43804</v>
      </c>
      <c r="C51" s="1" t="n">
        <v>45587</v>
      </c>
      <c r="D51" t="inlineStr">
        <is>
          <t>VÄSTRA GÖTALANDS LÄN</t>
        </is>
      </c>
      <c r="E51" t="inlineStr">
        <is>
          <t>HÄRRYDA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1502-2020</t>
        </is>
      </c>
      <c r="B52" s="1" t="n">
        <v>43826</v>
      </c>
      <c r="C52" s="1" t="n">
        <v>45587</v>
      </c>
      <c r="D52" t="inlineStr">
        <is>
          <t>VÄSTRA GÖTALANDS LÄN</t>
        </is>
      </c>
      <c r="E52" t="inlineStr">
        <is>
          <t>HÄRRYDA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587-2020</t>
        </is>
      </c>
      <c r="B53" s="1" t="n">
        <v>43838</v>
      </c>
      <c r="C53" s="1" t="n">
        <v>45587</v>
      </c>
      <c r="D53" t="inlineStr">
        <is>
          <t>VÄSTRA GÖTALANDS LÄN</t>
        </is>
      </c>
      <c r="E53" t="inlineStr">
        <is>
          <t>HÄRRYDA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6168-2020</t>
        </is>
      </c>
      <c r="B54" s="1" t="n">
        <v>43865</v>
      </c>
      <c r="C54" s="1" t="n">
        <v>45587</v>
      </c>
      <c r="D54" t="inlineStr">
        <is>
          <t>VÄSTRA GÖTALANDS LÄN</t>
        </is>
      </c>
      <c r="E54" t="inlineStr">
        <is>
          <t>HÄRRYDA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8467-2020</t>
        </is>
      </c>
      <c r="B55" s="1" t="n">
        <v>43875</v>
      </c>
      <c r="C55" s="1" t="n">
        <v>45587</v>
      </c>
      <c r="D55" t="inlineStr">
        <is>
          <t>VÄSTRA GÖTALANDS LÄN</t>
        </is>
      </c>
      <c r="E55" t="inlineStr">
        <is>
          <t>HÄRRYDA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10270-2020</t>
        </is>
      </c>
      <c r="B56" s="1" t="n">
        <v>43887</v>
      </c>
      <c r="C56" s="1" t="n">
        <v>45587</v>
      </c>
      <c r="D56" t="inlineStr">
        <is>
          <t>VÄSTRA GÖTALANDS LÄN</t>
        </is>
      </c>
      <c r="E56" t="inlineStr">
        <is>
          <t>HÄRRYDA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14779-2020</t>
        </is>
      </c>
      <c r="B57" s="1" t="n">
        <v>43909</v>
      </c>
      <c r="C57" s="1" t="n">
        <v>45587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15234-2020</t>
        </is>
      </c>
      <c r="B58" s="1" t="n">
        <v>43913</v>
      </c>
      <c r="C58" s="1" t="n">
        <v>45587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15265-2020</t>
        </is>
      </c>
      <c r="B59" s="1" t="n">
        <v>43913</v>
      </c>
      <c r="C59" s="1" t="n">
        <v>45587</v>
      </c>
      <c r="D59" t="inlineStr">
        <is>
          <t>VÄSTRA GÖTALANDS LÄN</t>
        </is>
      </c>
      <c r="E59" t="inlineStr">
        <is>
          <t>HÄRRYDA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15597-2020</t>
        </is>
      </c>
      <c r="B60" s="1" t="n">
        <v>43914</v>
      </c>
      <c r="C60" s="1" t="n">
        <v>45587</v>
      </c>
      <c r="D60" t="inlineStr">
        <is>
          <t>VÄSTRA GÖTALANDS LÄN</t>
        </is>
      </c>
      <c r="E60" t="inlineStr">
        <is>
          <t>HÄRRYDA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15846-2020</t>
        </is>
      </c>
      <c r="B61" s="1" t="n">
        <v>43915</v>
      </c>
      <c r="C61" s="1" t="n">
        <v>45587</v>
      </c>
      <c r="D61" t="inlineStr">
        <is>
          <t>VÄSTRA GÖTALANDS LÄN</t>
        </is>
      </c>
      <c r="E61" t="inlineStr">
        <is>
          <t>HÄRRYDA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18847-2020</t>
        </is>
      </c>
      <c r="B62" s="1" t="n">
        <v>43929</v>
      </c>
      <c r="C62" s="1" t="n">
        <v>45587</v>
      </c>
      <c r="D62" t="inlineStr">
        <is>
          <t>VÄSTRA GÖTALANDS LÄN</t>
        </is>
      </c>
      <c r="E62" t="inlineStr">
        <is>
          <t>HÄRRYDA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18849-2020</t>
        </is>
      </c>
      <c r="B63" s="1" t="n">
        <v>43929</v>
      </c>
      <c r="C63" s="1" t="n">
        <v>45587</v>
      </c>
      <c r="D63" t="inlineStr">
        <is>
          <t>VÄSTRA GÖTALANDS LÄN</t>
        </is>
      </c>
      <c r="E63" t="inlineStr">
        <is>
          <t>HÄRRYDA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21685-2020</t>
        </is>
      </c>
      <c r="B64" s="1" t="n">
        <v>43957</v>
      </c>
      <c r="C64" s="1" t="n">
        <v>45587</v>
      </c>
      <c r="D64" t="inlineStr">
        <is>
          <t>VÄSTRA GÖTALANDS LÄN</t>
        </is>
      </c>
      <c r="E64" t="inlineStr">
        <is>
          <t>HÄRRYDA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21682-2020</t>
        </is>
      </c>
      <c r="B65" s="1" t="n">
        <v>43957</v>
      </c>
      <c r="C65" s="1" t="n">
        <v>45587</v>
      </c>
      <c r="D65" t="inlineStr">
        <is>
          <t>VÄSTRA GÖTALANDS LÄN</t>
        </is>
      </c>
      <c r="E65" t="inlineStr">
        <is>
          <t>HÄRRYDA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24733-2020</t>
        </is>
      </c>
      <c r="B66" s="1" t="n">
        <v>43978</v>
      </c>
      <c r="C66" s="1" t="n">
        <v>45587</v>
      </c>
      <c r="D66" t="inlineStr">
        <is>
          <t>VÄSTRA GÖTALANDS LÄN</t>
        </is>
      </c>
      <c r="E66" t="inlineStr">
        <is>
          <t>HÄRRYDA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33262-2020</t>
        </is>
      </c>
      <c r="B67" s="1" t="n">
        <v>44022</v>
      </c>
      <c r="C67" s="1" t="n">
        <v>45587</v>
      </c>
      <c r="D67" t="inlineStr">
        <is>
          <t>VÄSTRA GÖTALANDS LÄN</t>
        </is>
      </c>
      <c r="E67" t="inlineStr">
        <is>
          <t>HÄRRYDA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37987-2020</t>
        </is>
      </c>
      <c r="B68" s="1" t="n">
        <v>44057</v>
      </c>
      <c r="C68" s="1" t="n">
        <v>45587</v>
      </c>
      <c r="D68" t="inlineStr">
        <is>
          <t>VÄSTRA GÖTALANDS LÄN</t>
        </is>
      </c>
      <c r="E68" t="inlineStr">
        <is>
          <t>HÄRRYDA</t>
        </is>
      </c>
      <c r="G68" t="n">
        <v>4.5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37989-2020</t>
        </is>
      </c>
      <c r="B69" s="1" t="n">
        <v>44057</v>
      </c>
      <c r="C69" s="1" t="n">
        <v>45587</v>
      </c>
      <c r="D69" t="inlineStr">
        <is>
          <t>VÄSTRA GÖTALANDS LÄN</t>
        </is>
      </c>
      <c r="E69" t="inlineStr">
        <is>
          <t>HÄRRYDA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43194-2020</t>
        </is>
      </c>
      <c r="B70" s="1" t="n">
        <v>44081</v>
      </c>
      <c r="C70" s="1" t="n">
        <v>45587</v>
      </c>
      <c r="D70" t="inlineStr">
        <is>
          <t>VÄSTRA GÖTALANDS LÄN</t>
        </is>
      </c>
      <c r="E70" t="inlineStr">
        <is>
          <t>HÄRRYDA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43198-2020</t>
        </is>
      </c>
      <c r="B71" s="1" t="n">
        <v>44081</v>
      </c>
      <c r="C71" s="1" t="n">
        <v>45587</v>
      </c>
      <c r="D71" t="inlineStr">
        <is>
          <t>VÄSTRA GÖTALANDS LÄN</t>
        </is>
      </c>
      <c r="E71" t="inlineStr">
        <is>
          <t>HÄRRYDA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43202-2020</t>
        </is>
      </c>
      <c r="B72" s="1" t="n">
        <v>44081</v>
      </c>
      <c r="C72" s="1" t="n">
        <v>45587</v>
      </c>
      <c r="D72" t="inlineStr">
        <is>
          <t>VÄSTRA GÖTALANDS LÄN</t>
        </is>
      </c>
      <c r="E72" t="inlineStr">
        <is>
          <t>HÄRRYDA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44647-2020</t>
        </is>
      </c>
      <c r="B73" s="1" t="n">
        <v>44085</v>
      </c>
      <c r="C73" s="1" t="n">
        <v>45587</v>
      </c>
      <c r="D73" t="inlineStr">
        <is>
          <t>VÄSTRA GÖTALANDS LÄN</t>
        </is>
      </c>
      <c r="E73" t="inlineStr">
        <is>
          <t>HÄRRYDA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49344-2020</t>
        </is>
      </c>
      <c r="B74" s="1" t="n">
        <v>44105</v>
      </c>
      <c r="C74" s="1" t="n">
        <v>45587</v>
      </c>
      <c r="D74" t="inlineStr">
        <is>
          <t>VÄSTRA GÖTALANDS LÄN</t>
        </is>
      </c>
      <c r="E74" t="inlineStr">
        <is>
          <t>HÄRRYDA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49333-2020</t>
        </is>
      </c>
      <c r="B75" s="1" t="n">
        <v>44105</v>
      </c>
      <c r="C75" s="1" t="n">
        <v>45587</v>
      </c>
      <c r="D75" t="inlineStr">
        <is>
          <t>VÄSTRA GÖTALANDS LÄN</t>
        </is>
      </c>
      <c r="E75" t="inlineStr">
        <is>
          <t>HÄRRYDA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51650-2020</t>
        </is>
      </c>
      <c r="B76" s="1" t="n">
        <v>44113</v>
      </c>
      <c r="C76" s="1" t="n">
        <v>45587</v>
      </c>
      <c r="D76" t="inlineStr">
        <is>
          <t>VÄSTRA GÖTALANDS LÄN</t>
        </is>
      </c>
      <c r="E76" t="inlineStr">
        <is>
          <t>HÄRRYDA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57067-2020</t>
        </is>
      </c>
      <c r="B77" s="1" t="n">
        <v>44138</v>
      </c>
      <c r="C77" s="1" t="n">
        <v>45587</v>
      </c>
      <c r="D77" t="inlineStr">
        <is>
          <t>VÄSTRA GÖTALANDS LÄN</t>
        </is>
      </c>
      <c r="E77" t="inlineStr">
        <is>
          <t>HÄRRYDA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64132-2020</t>
        </is>
      </c>
      <c r="B78" s="1" t="n">
        <v>44167</v>
      </c>
      <c r="C78" s="1" t="n">
        <v>45587</v>
      </c>
      <c r="D78" t="inlineStr">
        <is>
          <t>VÄSTRA GÖTALANDS LÄN</t>
        </is>
      </c>
      <c r="E78" t="inlineStr">
        <is>
          <t>HÄRRYDA</t>
        </is>
      </c>
      <c r="G78" t="n">
        <v>7.6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65462-2020</t>
        </is>
      </c>
      <c r="B79" s="1" t="n">
        <v>44173</v>
      </c>
      <c r="C79" s="1" t="n">
        <v>45587</v>
      </c>
      <c r="D79" t="inlineStr">
        <is>
          <t>VÄSTRA GÖTALANDS LÄN</t>
        </is>
      </c>
      <c r="E79" t="inlineStr">
        <is>
          <t>HÄRRYDA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67350-2020</t>
        </is>
      </c>
      <c r="B80" s="1" t="n">
        <v>44181</v>
      </c>
      <c r="C80" s="1" t="n">
        <v>45587</v>
      </c>
      <c r="D80" t="inlineStr">
        <is>
          <t>VÄSTRA GÖTALANDS LÄN</t>
        </is>
      </c>
      <c r="E80" t="inlineStr">
        <is>
          <t>HÄRRYDA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3655-2021</t>
        </is>
      </c>
      <c r="B81" s="1" t="n">
        <v>44221</v>
      </c>
      <c r="C81" s="1" t="n">
        <v>45587</v>
      </c>
      <c r="D81" t="inlineStr">
        <is>
          <t>VÄSTRA GÖTALANDS LÄN</t>
        </is>
      </c>
      <c r="E81" t="inlineStr">
        <is>
          <t>HÄRRYDA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3648-2021</t>
        </is>
      </c>
      <c r="B82" s="1" t="n">
        <v>44221</v>
      </c>
      <c r="C82" s="1" t="n">
        <v>45587</v>
      </c>
      <c r="D82" t="inlineStr">
        <is>
          <t>VÄSTRA GÖTALANDS LÄN</t>
        </is>
      </c>
      <c r="E82" t="inlineStr">
        <is>
          <t>HÄRRYDA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3662-2021</t>
        </is>
      </c>
      <c r="B83" s="1" t="n">
        <v>44221</v>
      </c>
      <c r="C83" s="1" t="n">
        <v>45587</v>
      </c>
      <c r="D83" t="inlineStr">
        <is>
          <t>VÄSTRA GÖTALANDS LÄN</t>
        </is>
      </c>
      <c r="E83" t="inlineStr">
        <is>
          <t>HÄRRYDA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3670-2021</t>
        </is>
      </c>
      <c r="B84" s="1" t="n">
        <v>44221</v>
      </c>
      <c r="C84" s="1" t="n">
        <v>45587</v>
      </c>
      <c r="D84" t="inlineStr">
        <is>
          <t>VÄSTRA GÖTALANDS LÄN</t>
        </is>
      </c>
      <c r="E84" t="inlineStr">
        <is>
          <t>HÄRRYDA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3633-2021</t>
        </is>
      </c>
      <c r="B85" s="1" t="n">
        <v>44221</v>
      </c>
      <c r="C85" s="1" t="n">
        <v>45587</v>
      </c>
      <c r="D85" t="inlineStr">
        <is>
          <t>VÄSTRA GÖTALANDS LÄN</t>
        </is>
      </c>
      <c r="E85" t="inlineStr">
        <is>
          <t>HÄRRYDA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3644-2021</t>
        </is>
      </c>
      <c r="B86" s="1" t="n">
        <v>44221</v>
      </c>
      <c r="C86" s="1" t="n">
        <v>45587</v>
      </c>
      <c r="D86" t="inlineStr">
        <is>
          <t>VÄSTRA GÖTALANDS LÄN</t>
        </is>
      </c>
      <c r="E86" t="inlineStr">
        <is>
          <t>HÄRRYDA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3629-2021</t>
        </is>
      </c>
      <c r="B87" s="1" t="n">
        <v>44221</v>
      </c>
      <c r="C87" s="1" t="n">
        <v>45587</v>
      </c>
      <c r="D87" t="inlineStr">
        <is>
          <t>VÄSTRA GÖTALANDS LÄN</t>
        </is>
      </c>
      <c r="E87" t="inlineStr">
        <is>
          <t>HÄRRYDA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3642-2021</t>
        </is>
      </c>
      <c r="B88" s="1" t="n">
        <v>44221</v>
      </c>
      <c r="C88" s="1" t="n">
        <v>45587</v>
      </c>
      <c r="D88" t="inlineStr">
        <is>
          <t>VÄSTRA GÖTALANDS LÄN</t>
        </is>
      </c>
      <c r="E88" t="inlineStr">
        <is>
          <t>HÄRRYDA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8001-2021</t>
        </is>
      </c>
      <c r="B89" s="1" t="n">
        <v>44243</v>
      </c>
      <c r="C89" s="1" t="n">
        <v>45587</v>
      </c>
      <c r="D89" t="inlineStr">
        <is>
          <t>VÄSTRA GÖTALANDS LÄN</t>
        </is>
      </c>
      <c r="E89" t="inlineStr">
        <is>
          <t>HÄRRYDA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9512-2021</t>
        </is>
      </c>
      <c r="B90" s="1" t="n">
        <v>44251</v>
      </c>
      <c r="C90" s="1" t="n">
        <v>45587</v>
      </c>
      <c r="D90" t="inlineStr">
        <is>
          <t>VÄSTRA GÖTALANDS LÄN</t>
        </is>
      </c>
      <c r="E90" t="inlineStr">
        <is>
          <t>HÄRRYDA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9693-2021</t>
        </is>
      </c>
      <c r="B91" s="1" t="n">
        <v>44252</v>
      </c>
      <c r="C91" s="1" t="n">
        <v>45587</v>
      </c>
      <c r="D91" t="inlineStr">
        <is>
          <t>VÄSTRA GÖTALANDS LÄN</t>
        </is>
      </c>
      <c r="E91" t="inlineStr">
        <is>
          <t>HÄRRYDA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10351-2021</t>
        </is>
      </c>
      <c r="B92" s="1" t="n">
        <v>44257</v>
      </c>
      <c r="C92" s="1" t="n">
        <v>45587</v>
      </c>
      <c r="D92" t="inlineStr">
        <is>
          <t>VÄSTRA GÖTALANDS LÄN</t>
        </is>
      </c>
      <c r="E92" t="inlineStr">
        <is>
          <t>HÄRRYDA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12262-2021</t>
        </is>
      </c>
      <c r="B93" s="1" t="n">
        <v>44266</v>
      </c>
      <c r="C93" s="1" t="n">
        <v>45587</v>
      </c>
      <c r="D93" t="inlineStr">
        <is>
          <t>VÄSTRA GÖTALANDS LÄN</t>
        </is>
      </c>
      <c r="E93" t="inlineStr">
        <is>
          <t>HÄRRYDA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12906-2021</t>
        </is>
      </c>
      <c r="B94" s="1" t="n">
        <v>44271</v>
      </c>
      <c r="C94" s="1" t="n">
        <v>45587</v>
      </c>
      <c r="D94" t="inlineStr">
        <is>
          <t>VÄSTRA GÖTALANDS LÄN</t>
        </is>
      </c>
      <c r="E94" t="inlineStr">
        <is>
          <t>HÄRRYDA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13692-2021</t>
        </is>
      </c>
      <c r="B95" s="1" t="n">
        <v>44274</v>
      </c>
      <c r="C95" s="1" t="n">
        <v>45587</v>
      </c>
      <c r="D95" t="inlineStr">
        <is>
          <t>VÄSTRA GÖTALANDS LÄN</t>
        </is>
      </c>
      <c r="E95" t="inlineStr">
        <is>
          <t>HÄRRYDA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14349-2021</t>
        </is>
      </c>
      <c r="B96" s="1" t="n">
        <v>44278</v>
      </c>
      <c r="C96" s="1" t="n">
        <v>45587</v>
      </c>
      <c r="D96" t="inlineStr">
        <is>
          <t>VÄSTRA GÖTALANDS LÄN</t>
        </is>
      </c>
      <c r="E96" t="inlineStr">
        <is>
          <t>HÄRRYDA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14688-2021</t>
        </is>
      </c>
      <c r="B97" s="1" t="n">
        <v>44280</v>
      </c>
      <c r="C97" s="1" t="n">
        <v>45587</v>
      </c>
      <c r="D97" t="inlineStr">
        <is>
          <t>VÄSTRA GÖTALANDS LÄN</t>
        </is>
      </c>
      <c r="E97" t="inlineStr">
        <is>
          <t>HÄRRYDA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15732-2021</t>
        </is>
      </c>
      <c r="B98" s="1" t="n">
        <v>44286</v>
      </c>
      <c r="C98" s="1" t="n">
        <v>45587</v>
      </c>
      <c r="D98" t="inlineStr">
        <is>
          <t>VÄSTRA GÖTALANDS LÄN</t>
        </is>
      </c>
      <c r="E98" t="inlineStr">
        <is>
          <t>HÄRRYDA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17992-2021</t>
        </is>
      </c>
      <c r="B99" s="1" t="n">
        <v>44301</v>
      </c>
      <c r="C99" s="1" t="n">
        <v>45587</v>
      </c>
      <c r="D99" t="inlineStr">
        <is>
          <t>VÄSTRA GÖTALANDS LÄN</t>
        </is>
      </c>
      <c r="E99" t="inlineStr">
        <is>
          <t>HÄRRYDA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17860-2021</t>
        </is>
      </c>
      <c r="B100" s="1" t="n">
        <v>44301</v>
      </c>
      <c r="C100" s="1" t="n">
        <v>45587</v>
      </c>
      <c r="D100" t="inlineStr">
        <is>
          <t>VÄSTRA GÖTALANDS LÄN</t>
        </is>
      </c>
      <c r="E100" t="inlineStr">
        <is>
          <t>HÄRRYDA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21578-2021</t>
        </is>
      </c>
      <c r="B101" s="1" t="n">
        <v>44321</v>
      </c>
      <c r="C101" s="1" t="n">
        <v>45587</v>
      </c>
      <c r="D101" t="inlineStr">
        <is>
          <t>VÄSTRA GÖTALANDS LÄN</t>
        </is>
      </c>
      <c r="E101" t="inlineStr">
        <is>
          <t>HÄRRYDA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25222-2021</t>
        </is>
      </c>
      <c r="B102" s="1" t="n">
        <v>44342</v>
      </c>
      <c r="C102" s="1" t="n">
        <v>45587</v>
      </c>
      <c r="D102" t="inlineStr">
        <is>
          <t>VÄSTRA GÖTALANDS LÄN</t>
        </is>
      </c>
      <c r="E102" t="inlineStr">
        <is>
          <t>HÄRRYDA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25267-2021</t>
        </is>
      </c>
      <c r="B103" s="1" t="n">
        <v>44342</v>
      </c>
      <c r="C103" s="1" t="n">
        <v>45587</v>
      </c>
      <c r="D103" t="inlineStr">
        <is>
          <t>VÄSTRA GÖTALANDS LÄN</t>
        </is>
      </c>
      <c r="E103" t="inlineStr">
        <is>
          <t>HÄRRYDA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25967-2021</t>
        </is>
      </c>
      <c r="B104" s="1" t="n">
        <v>44344</v>
      </c>
      <c r="C104" s="1" t="n">
        <v>45587</v>
      </c>
      <c r="D104" t="inlineStr">
        <is>
          <t>VÄSTRA GÖTALANDS LÄN</t>
        </is>
      </c>
      <c r="E104" t="inlineStr">
        <is>
          <t>HÄRRYDA</t>
        </is>
      </c>
      <c r="G104" t="n">
        <v>5.4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27546-2021</t>
        </is>
      </c>
      <c r="B105" s="1" t="n">
        <v>44351</v>
      </c>
      <c r="C105" s="1" t="n">
        <v>45587</v>
      </c>
      <c r="D105" t="inlineStr">
        <is>
          <t>VÄSTRA GÖTALANDS LÄN</t>
        </is>
      </c>
      <c r="E105" t="inlineStr">
        <is>
          <t>HÄRRYDA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36741-2021</t>
        </is>
      </c>
      <c r="B106" s="1" t="n">
        <v>44392</v>
      </c>
      <c r="C106" s="1" t="n">
        <v>45587</v>
      </c>
      <c r="D106" t="inlineStr">
        <is>
          <t>VÄSTRA GÖTALANDS LÄN</t>
        </is>
      </c>
      <c r="E106" t="inlineStr">
        <is>
          <t>HÄRRYDA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50417-2021</t>
        </is>
      </c>
      <c r="B107" s="1" t="n">
        <v>44459</v>
      </c>
      <c r="C107" s="1" t="n">
        <v>45587</v>
      </c>
      <c r="D107" t="inlineStr">
        <is>
          <t>VÄSTRA GÖTALANDS LÄN</t>
        </is>
      </c>
      <c r="E107" t="inlineStr">
        <is>
          <t>HÄRRYDA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53200-2021</t>
        </is>
      </c>
      <c r="B108" s="1" t="n">
        <v>44468</v>
      </c>
      <c r="C108" s="1" t="n">
        <v>45587</v>
      </c>
      <c r="D108" t="inlineStr">
        <is>
          <t>VÄSTRA GÖTALANDS LÄN</t>
        </is>
      </c>
      <c r="E108" t="inlineStr">
        <is>
          <t>HÄRRYDA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53204-2021</t>
        </is>
      </c>
      <c r="B109" s="1" t="n">
        <v>44468</v>
      </c>
      <c r="C109" s="1" t="n">
        <v>45587</v>
      </c>
      <c r="D109" t="inlineStr">
        <is>
          <t>VÄSTRA GÖTALANDS LÄN</t>
        </is>
      </c>
      <c r="E109" t="inlineStr">
        <is>
          <t>HÄRRYDA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58926-2021</t>
        </is>
      </c>
      <c r="B110" s="1" t="n">
        <v>44489</v>
      </c>
      <c r="C110" s="1" t="n">
        <v>45587</v>
      </c>
      <c r="D110" t="inlineStr">
        <is>
          <t>VÄSTRA GÖTALANDS LÄN</t>
        </is>
      </c>
      <c r="E110" t="inlineStr">
        <is>
          <t>HÄRRYDA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59767-2021</t>
        </is>
      </c>
      <c r="B111" s="1" t="n">
        <v>44494</v>
      </c>
      <c r="C111" s="1" t="n">
        <v>45587</v>
      </c>
      <c r="D111" t="inlineStr">
        <is>
          <t>VÄSTRA GÖTALANDS LÄN</t>
        </is>
      </c>
      <c r="E111" t="inlineStr">
        <is>
          <t>HÄRRYDA</t>
        </is>
      </c>
      <c r="G111" t="n">
        <v>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63592-2021</t>
        </is>
      </c>
      <c r="B112" s="1" t="n">
        <v>44508</v>
      </c>
      <c r="C112" s="1" t="n">
        <v>45587</v>
      </c>
      <c r="D112" t="inlineStr">
        <is>
          <t>VÄSTRA GÖTALANDS LÄN</t>
        </is>
      </c>
      <c r="E112" t="inlineStr">
        <is>
          <t>HÄRRYDA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63596-2021</t>
        </is>
      </c>
      <c r="B113" s="1" t="n">
        <v>44508</v>
      </c>
      <c r="C113" s="1" t="n">
        <v>45587</v>
      </c>
      <c r="D113" t="inlineStr">
        <is>
          <t>VÄSTRA GÖTALANDS LÄN</t>
        </is>
      </c>
      <c r="E113" t="inlineStr">
        <is>
          <t>HÄRRYDA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63595-2021</t>
        </is>
      </c>
      <c r="B114" s="1" t="n">
        <v>44508</v>
      </c>
      <c r="C114" s="1" t="n">
        <v>45587</v>
      </c>
      <c r="D114" t="inlineStr">
        <is>
          <t>VÄSTRA GÖTALANDS LÄN</t>
        </is>
      </c>
      <c r="E114" t="inlineStr">
        <is>
          <t>HÄRRYDA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67798-2021</t>
        </is>
      </c>
      <c r="B115" s="1" t="n">
        <v>44525</v>
      </c>
      <c r="C115" s="1" t="n">
        <v>45587</v>
      </c>
      <c r="D115" t="inlineStr">
        <is>
          <t>VÄSTRA GÖTALANDS LÄN</t>
        </is>
      </c>
      <c r="E115" t="inlineStr">
        <is>
          <t>HÄRRYDA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69563-2021</t>
        </is>
      </c>
      <c r="B116" s="1" t="n">
        <v>44532</v>
      </c>
      <c r="C116" s="1" t="n">
        <v>45587</v>
      </c>
      <c r="D116" t="inlineStr">
        <is>
          <t>VÄSTRA GÖTALANDS LÄN</t>
        </is>
      </c>
      <c r="E116" t="inlineStr">
        <is>
          <t>HÄRRYDA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71648-2021</t>
        </is>
      </c>
      <c r="B117" s="1" t="n">
        <v>44543</v>
      </c>
      <c r="C117" s="1" t="n">
        <v>45587</v>
      </c>
      <c r="D117" t="inlineStr">
        <is>
          <t>VÄSTRA GÖTALANDS LÄN</t>
        </is>
      </c>
      <c r="E117" t="inlineStr">
        <is>
          <t>HÄRRYDA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72891-2021</t>
        </is>
      </c>
      <c r="B118" s="1" t="n">
        <v>44547</v>
      </c>
      <c r="C118" s="1" t="n">
        <v>45587</v>
      </c>
      <c r="D118" t="inlineStr">
        <is>
          <t>VÄSTRA GÖTALANDS LÄN</t>
        </is>
      </c>
      <c r="E118" t="inlineStr">
        <is>
          <t>HÄRRYDA</t>
        </is>
      </c>
      <c r="G118" t="n">
        <v>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1551-2022</t>
        </is>
      </c>
      <c r="B119" s="1" t="n">
        <v>44573</v>
      </c>
      <c r="C119" s="1" t="n">
        <v>45587</v>
      </c>
      <c r="D119" t="inlineStr">
        <is>
          <t>VÄSTRA GÖTALANDS LÄN</t>
        </is>
      </c>
      <c r="E119" t="inlineStr">
        <is>
          <t>HÄRRYDA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6111-2022</t>
        </is>
      </c>
      <c r="B120" s="1" t="n">
        <v>44599</v>
      </c>
      <c r="C120" s="1" t="n">
        <v>45587</v>
      </c>
      <c r="D120" t="inlineStr">
        <is>
          <t>VÄSTRA GÖTALANDS LÄN</t>
        </is>
      </c>
      <c r="E120" t="inlineStr">
        <is>
          <t>HÄRRYDA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9165-2022</t>
        </is>
      </c>
      <c r="B121" s="1" t="n">
        <v>44615</v>
      </c>
      <c r="C121" s="1" t="n">
        <v>45587</v>
      </c>
      <c r="D121" t="inlineStr">
        <is>
          <t>VÄSTRA GÖTALANDS LÄN</t>
        </is>
      </c>
      <c r="E121" t="inlineStr">
        <is>
          <t>HÄRRYDA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10460-2022</t>
        </is>
      </c>
      <c r="B122" s="1" t="n">
        <v>44623</v>
      </c>
      <c r="C122" s="1" t="n">
        <v>45587</v>
      </c>
      <c r="D122" t="inlineStr">
        <is>
          <t>VÄSTRA GÖTALANDS LÄN</t>
        </is>
      </c>
      <c r="E122" t="inlineStr">
        <is>
          <t>HÄRRYDA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11451-2022</t>
        </is>
      </c>
      <c r="B123" s="1" t="n">
        <v>44630</v>
      </c>
      <c r="C123" s="1" t="n">
        <v>45587</v>
      </c>
      <c r="D123" t="inlineStr">
        <is>
          <t>VÄSTRA GÖTALANDS LÄN</t>
        </is>
      </c>
      <c r="E123" t="inlineStr">
        <is>
          <t>HÄRRYDA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15683-2022</t>
        </is>
      </c>
      <c r="B124" s="1" t="n">
        <v>44663</v>
      </c>
      <c r="C124" s="1" t="n">
        <v>45587</v>
      </c>
      <c r="D124" t="inlineStr">
        <is>
          <t>VÄSTRA GÖTALANDS LÄN</t>
        </is>
      </c>
      <c r="E124" t="inlineStr">
        <is>
          <t>HÄRRYDA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19782-2022</t>
        </is>
      </c>
      <c r="B125" s="1" t="n">
        <v>44694</v>
      </c>
      <c r="C125" s="1" t="n">
        <v>45587</v>
      </c>
      <c r="D125" t="inlineStr">
        <is>
          <t>VÄSTRA GÖTALANDS LÄN</t>
        </is>
      </c>
      <c r="E125" t="inlineStr">
        <is>
          <t>HÄRRYDA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19972-2022</t>
        </is>
      </c>
      <c r="B126" s="1" t="n">
        <v>44697</v>
      </c>
      <c r="C126" s="1" t="n">
        <v>45587</v>
      </c>
      <c r="D126" t="inlineStr">
        <is>
          <t>VÄSTRA GÖTALANDS LÄN</t>
        </is>
      </c>
      <c r="E126" t="inlineStr">
        <is>
          <t>HÄRRYDA</t>
        </is>
      </c>
      <c r="G126" t="n">
        <v>6.7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19977-2022</t>
        </is>
      </c>
      <c r="B127" s="1" t="n">
        <v>44697</v>
      </c>
      <c r="C127" s="1" t="n">
        <v>45587</v>
      </c>
      <c r="D127" t="inlineStr">
        <is>
          <t>VÄSTRA GÖTALANDS LÄN</t>
        </is>
      </c>
      <c r="E127" t="inlineStr">
        <is>
          <t>HÄRRYDA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21780-2022</t>
        </is>
      </c>
      <c r="B128" s="1" t="n">
        <v>44708</v>
      </c>
      <c r="C128" s="1" t="n">
        <v>45587</v>
      </c>
      <c r="D128" t="inlineStr">
        <is>
          <t>VÄSTRA GÖTALANDS LÄN</t>
        </is>
      </c>
      <c r="E128" t="inlineStr">
        <is>
          <t>HÄRRYDA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23492-2022</t>
        </is>
      </c>
      <c r="B129" s="1" t="n">
        <v>44721</v>
      </c>
      <c r="C129" s="1" t="n">
        <v>45587</v>
      </c>
      <c r="D129" t="inlineStr">
        <is>
          <t>VÄSTRA GÖTALANDS LÄN</t>
        </is>
      </c>
      <c r="E129" t="inlineStr">
        <is>
          <t>HÄRRYDA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25504-2022</t>
        </is>
      </c>
      <c r="B130" s="1" t="n">
        <v>44732</v>
      </c>
      <c r="C130" s="1" t="n">
        <v>45587</v>
      </c>
      <c r="D130" t="inlineStr">
        <is>
          <t>VÄSTRA GÖTALANDS LÄN</t>
        </is>
      </c>
      <c r="E130" t="inlineStr">
        <is>
          <t>HÄRRYDA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25439-2022</t>
        </is>
      </c>
      <c r="B131" s="1" t="n">
        <v>44732</v>
      </c>
      <c r="C131" s="1" t="n">
        <v>45587</v>
      </c>
      <c r="D131" t="inlineStr">
        <is>
          <t>VÄSTRA GÖTALANDS LÄN</t>
        </is>
      </c>
      <c r="E131" t="inlineStr">
        <is>
          <t>HÄRRYDA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25499-2022</t>
        </is>
      </c>
      <c r="B132" s="1" t="n">
        <v>44732</v>
      </c>
      <c r="C132" s="1" t="n">
        <v>45587</v>
      </c>
      <c r="D132" t="inlineStr">
        <is>
          <t>VÄSTRA GÖTALANDS LÄN</t>
        </is>
      </c>
      <c r="E132" t="inlineStr">
        <is>
          <t>HÄRRYDA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25726-2022</t>
        </is>
      </c>
      <c r="B133" s="1" t="n">
        <v>44733</v>
      </c>
      <c r="C133" s="1" t="n">
        <v>45587</v>
      </c>
      <c r="D133" t="inlineStr">
        <is>
          <t>VÄSTRA GÖTALANDS LÄN</t>
        </is>
      </c>
      <c r="E133" t="inlineStr">
        <is>
          <t>HÄRRYDA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32869-2022</t>
        </is>
      </c>
      <c r="B134" s="1" t="n">
        <v>44784</v>
      </c>
      <c r="C134" s="1" t="n">
        <v>45587</v>
      </c>
      <c r="D134" t="inlineStr">
        <is>
          <t>VÄSTRA GÖTALANDS LÄN</t>
        </is>
      </c>
      <c r="E134" t="inlineStr">
        <is>
          <t>HÄRRYDA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32873-2022</t>
        </is>
      </c>
      <c r="B135" s="1" t="n">
        <v>44784</v>
      </c>
      <c r="C135" s="1" t="n">
        <v>45587</v>
      </c>
      <c r="D135" t="inlineStr">
        <is>
          <t>VÄSTRA GÖTALANDS LÄN</t>
        </is>
      </c>
      <c r="E135" t="inlineStr">
        <is>
          <t>HÄRRYDA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34938-2022</t>
        </is>
      </c>
      <c r="B136" s="1" t="n">
        <v>44796</v>
      </c>
      <c r="C136" s="1" t="n">
        <v>45587</v>
      </c>
      <c r="D136" t="inlineStr">
        <is>
          <t>VÄSTRA GÖTALANDS LÄN</t>
        </is>
      </c>
      <c r="E136" t="inlineStr">
        <is>
          <t>HÄRRYDA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41318-2022</t>
        </is>
      </c>
      <c r="B137" s="1" t="n">
        <v>44826</v>
      </c>
      <c r="C137" s="1" t="n">
        <v>45587</v>
      </c>
      <c r="D137" t="inlineStr">
        <is>
          <t>VÄSTRA GÖTALANDS LÄN</t>
        </is>
      </c>
      <c r="E137" t="inlineStr">
        <is>
          <t>HÄRRYDA</t>
        </is>
      </c>
      <c r="G137" t="n">
        <v>11.5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52045-2022</t>
        </is>
      </c>
      <c r="B138" s="1" t="n">
        <v>44873</v>
      </c>
      <c r="C138" s="1" t="n">
        <v>45587</v>
      </c>
      <c r="D138" t="inlineStr">
        <is>
          <t>VÄSTRA GÖTALANDS LÄN</t>
        </is>
      </c>
      <c r="E138" t="inlineStr">
        <is>
          <t>HÄRRYDA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53961-2022</t>
        </is>
      </c>
      <c r="B139" s="1" t="n">
        <v>44881</v>
      </c>
      <c r="C139" s="1" t="n">
        <v>45587</v>
      </c>
      <c r="D139" t="inlineStr">
        <is>
          <t>VÄSTRA GÖTALANDS LÄN</t>
        </is>
      </c>
      <c r="E139" t="inlineStr">
        <is>
          <t>HÄRRYDA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58481-2022</t>
        </is>
      </c>
      <c r="B140" s="1" t="n">
        <v>44902</v>
      </c>
      <c r="C140" s="1" t="n">
        <v>45587</v>
      </c>
      <c r="D140" t="inlineStr">
        <is>
          <t>VÄSTRA GÖTALANDS LÄN</t>
        </is>
      </c>
      <c r="E140" t="inlineStr">
        <is>
          <t>HÄRRYDA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59244-2022</t>
        </is>
      </c>
      <c r="B141" s="1" t="n">
        <v>44904</v>
      </c>
      <c r="C141" s="1" t="n">
        <v>45587</v>
      </c>
      <c r="D141" t="inlineStr">
        <is>
          <t>VÄSTRA GÖTALANDS LÄN</t>
        </is>
      </c>
      <c r="E141" t="inlineStr">
        <is>
          <t>HÄRRYDA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59711-2022</t>
        </is>
      </c>
      <c r="B142" s="1" t="n">
        <v>44908</v>
      </c>
      <c r="C142" s="1" t="n">
        <v>45587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60432-2022</t>
        </is>
      </c>
      <c r="B143" s="1" t="n">
        <v>44911</v>
      </c>
      <c r="C143" s="1" t="n">
        <v>45587</v>
      </c>
      <c r="D143" t="inlineStr">
        <is>
          <t>VÄSTRA GÖTALANDS LÄN</t>
        </is>
      </c>
      <c r="E143" t="inlineStr">
        <is>
          <t>HÄRRYDA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3229-2023</t>
        </is>
      </c>
      <c r="B144" s="1" t="n">
        <v>44946</v>
      </c>
      <c r="C144" s="1" t="n">
        <v>45587</v>
      </c>
      <c r="D144" t="inlineStr">
        <is>
          <t>VÄSTRA GÖTALANDS LÄN</t>
        </is>
      </c>
      <c r="E144" t="inlineStr">
        <is>
          <t>HÄRRYDA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5630-2023</t>
        </is>
      </c>
      <c r="B145" s="1" t="n">
        <v>44960</v>
      </c>
      <c r="C145" s="1" t="n">
        <v>45587</v>
      </c>
      <c r="D145" t="inlineStr">
        <is>
          <t>VÄSTRA GÖTALANDS LÄN</t>
        </is>
      </c>
      <c r="E145" t="inlineStr">
        <is>
          <t>HÄRRYDA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5628-2023</t>
        </is>
      </c>
      <c r="B146" s="1" t="n">
        <v>44960</v>
      </c>
      <c r="C146" s="1" t="n">
        <v>45587</v>
      </c>
      <c r="D146" t="inlineStr">
        <is>
          <t>VÄSTRA GÖTALANDS LÄN</t>
        </is>
      </c>
      <c r="E146" t="inlineStr">
        <is>
          <t>HÄRRYDA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13108-2023</t>
        </is>
      </c>
      <c r="B147" s="1" t="n">
        <v>45002</v>
      </c>
      <c r="C147" s="1" t="n">
        <v>45587</v>
      </c>
      <c r="D147" t="inlineStr">
        <is>
          <t>VÄSTRA GÖTALANDS LÄN</t>
        </is>
      </c>
      <c r="E147" t="inlineStr">
        <is>
          <t>HÄRRYDA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14468-2023</t>
        </is>
      </c>
      <c r="B148" s="1" t="n">
        <v>45012</v>
      </c>
      <c r="C148" s="1" t="n">
        <v>45587</v>
      </c>
      <c r="D148" t="inlineStr">
        <is>
          <t>VÄSTRA GÖTALANDS LÄN</t>
        </is>
      </c>
      <c r="E148" t="inlineStr">
        <is>
          <t>HÄRRYDA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16723-2023</t>
        </is>
      </c>
      <c r="B149" s="1" t="n">
        <v>45030</v>
      </c>
      <c r="C149" s="1" t="n">
        <v>45587</v>
      </c>
      <c r="D149" t="inlineStr">
        <is>
          <t>VÄSTRA GÖTALANDS LÄN</t>
        </is>
      </c>
      <c r="E149" t="inlineStr">
        <is>
          <t>HÄRRYDA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17794-2023</t>
        </is>
      </c>
      <c r="B150" s="1" t="n">
        <v>45037</v>
      </c>
      <c r="C150" s="1" t="n">
        <v>45587</v>
      </c>
      <c r="D150" t="inlineStr">
        <is>
          <t>VÄSTRA GÖTALANDS LÄN</t>
        </is>
      </c>
      <c r="E150" t="inlineStr">
        <is>
          <t>HÄRRYDA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17825-2023</t>
        </is>
      </c>
      <c r="B151" s="1" t="n">
        <v>45037</v>
      </c>
      <c r="C151" s="1" t="n">
        <v>45587</v>
      </c>
      <c r="D151" t="inlineStr">
        <is>
          <t>VÄSTRA GÖTALANDS LÄN</t>
        </is>
      </c>
      <c r="E151" t="inlineStr">
        <is>
          <t>HÄRRYDA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17827-2023</t>
        </is>
      </c>
      <c r="B152" s="1" t="n">
        <v>45037</v>
      </c>
      <c r="C152" s="1" t="n">
        <v>45587</v>
      </c>
      <c r="D152" t="inlineStr">
        <is>
          <t>VÄSTRA GÖTALANDS LÄN</t>
        </is>
      </c>
      <c r="E152" t="inlineStr">
        <is>
          <t>HÄRRYDA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20727-2023</t>
        </is>
      </c>
      <c r="B153" s="1" t="n">
        <v>45058</v>
      </c>
      <c r="C153" s="1" t="n">
        <v>45587</v>
      </c>
      <c r="D153" t="inlineStr">
        <is>
          <t>VÄSTRA GÖTALANDS LÄN</t>
        </is>
      </c>
      <c r="E153" t="inlineStr">
        <is>
          <t>HÄRRYDA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21100-2023</t>
        </is>
      </c>
      <c r="B154" s="1" t="n">
        <v>45061</v>
      </c>
      <c r="C154" s="1" t="n">
        <v>45587</v>
      </c>
      <c r="D154" t="inlineStr">
        <is>
          <t>VÄSTRA GÖTALANDS LÄN</t>
        </is>
      </c>
      <c r="E154" t="inlineStr">
        <is>
          <t>HÄRRYDA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21097-2023</t>
        </is>
      </c>
      <c r="B155" s="1" t="n">
        <v>45062</v>
      </c>
      <c r="C155" s="1" t="n">
        <v>45587</v>
      </c>
      <c r="D155" t="inlineStr">
        <is>
          <t>VÄSTRA GÖTALANDS LÄN</t>
        </is>
      </c>
      <c r="E155" t="inlineStr">
        <is>
          <t>HÄRRYDA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21398-2023</t>
        </is>
      </c>
      <c r="B156" s="1" t="n">
        <v>45063</v>
      </c>
      <c r="C156" s="1" t="n">
        <v>45587</v>
      </c>
      <c r="D156" t="inlineStr">
        <is>
          <t>VÄSTRA GÖTALANDS LÄN</t>
        </is>
      </c>
      <c r="E156" t="inlineStr">
        <is>
          <t>HÄRRYDA</t>
        </is>
      </c>
      <c r="G156" t="n">
        <v>6.6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21800-2023</t>
        </is>
      </c>
      <c r="B157" s="1" t="n">
        <v>45067</v>
      </c>
      <c r="C157" s="1" t="n">
        <v>45587</v>
      </c>
      <c r="D157" t="inlineStr">
        <is>
          <t>VÄSTRA GÖTALANDS LÄN</t>
        </is>
      </c>
      <c r="E157" t="inlineStr">
        <is>
          <t>HÄRRYDA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22606-2023</t>
        </is>
      </c>
      <c r="B158" s="1" t="n">
        <v>45071</v>
      </c>
      <c r="C158" s="1" t="n">
        <v>45587</v>
      </c>
      <c r="D158" t="inlineStr">
        <is>
          <t>VÄSTRA GÖTALANDS LÄN</t>
        </is>
      </c>
      <c r="E158" t="inlineStr">
        <is>
          <t>HÄRRYDA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22614-2023</t>
        </is>
      </c>
      <c r="B159" s="1" t="n">
        <v>45071</v>
      </c>
      <c r="C159" s="1" t="n">
        <v>45587</v>
      </c>
      <c r="D159" t="inlineStr">
        <is>
          <t>VÄSTRA GÖTALANDS LÄN</t>
        </is>
      </c>
      <c r="E159" t="inlineStr">
        <is>
          <t>HÄRRYDA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28836-2023</t>
        </is>
      </c>
      <c r="B160" s="1" t="n">
        <v>45104</v>
      </c>
      <c r="C160" s="1" t="n">
        <v>45587</v>
      </c>
      <c r="D160" t="inlineStr">
        <is>
          <t>VÄSTRA GÖTALANDS LÄN</t>
        </is>
      </c>
      <c r="E160" t="inlineStr">
        <is>
          <t>HÄRRYDA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28840-2023</t>
        </is>
      </c>
      <c r="B161" s="1" t="n">
        <v>45104</v>
      </c>
      <c r="C161" s="1" t="n">
        <v>45587</v>
      </c>
      <c r="D161" t="inlineStr">
        <is>
          <t>VÄSTRA GÖTALANDS LÄN</t>
        </is>
      </c>
      <c r="E161" t="inlineStr">
        <is>
          <t>HÄRRYDA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29697-2023</t>
        </is>
      </c>
      <c r="B162" s="1" t="n">
        <v>45107</v>
      </c>
      <c r="C162" s="1" t="n">
        <v>45587</v>
      </c>
      <c r="D162" t="inlineStr">
        <is>
          <t>VÄSTRA GÖTALANDS LÄN</t>
        </is>
      </c>
      <c r="E162" t="inlineStr">
        <is>
          <t>HÄRRYDA</t>
        </is>
      </c>
      <c r="G162" t="n">
        <v>5.8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29696-2023</t>
        </is>
      </c>
      <c r="B163" s="1" t="n">
        <v>45107</v>
      </c>
      <c r="C163" s="1" t="n">
        <v>45587</v>
      </c>
      <c r="D163" t="inlineStr">
        <is>
          <t>VÄSTRA GÖTALANDS LÄN</t>
        </is>
      </c>
      <c r="E163" t="inlineStr">
        <is>
          <t>HÄRRYDA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32326-2023</t>
        </is>
      </c>
      <c r="B164" s="1" t="n">
        <v>45120</v>
      </c>
      <c r="C164" s="1" t="n">
        <v>45587</v>
      </c>
      <c r="D164" t="inlineStr">
        <is>
          <t>VÄSTRA GÖTALANDS LÄN</t>
        </is>
      </c>
      <c r="E164" t="inlineStr">
        <is>
          <t>HÄRRYDA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34665-2023</t>
        </is>
      </c>
      <c r="B165" s="1" t="n">
        <v>45140</v>
      </c>
      <c r="C165" s="1" t="n">
        <v>45587</v>
      </c>
      <c r="D165" t="inlineStr">
        <is>
          <t>VÄSTRA GÖTALANDS LÄN</t>
        </is>
      </c>
      <c r="E165" t="inlineStr">
        <is>
          <t>HÄRRYDA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34667-2023</t>
        </is>
      </c>
      <c r="B166" s="1" t="n">
        <v>45140</v>
      </c>
      <c r="C166" s="1" t="n">
        <v>45587</v>
      </c>
      <c r="D166" t="inlineStr">
        <is>
          <t>VÄSTRA GÖTALANDS LÄN</t>
        </is>
      </c>
      <c r="E166" t="inlineStr">
        <is>
          <t>HÄRRYDA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34666-2023</t>
        </is>
      </c>
      <c r="B167" s="1" t="n">
        <v>45140</v>
      </c>
      <c r="C167" s="1" t="n">
        <v>45587</v>
      </c>
      <c r="D167" t="inlineStr">
        <is>
          <t>VÄSTRA GÖTALANDS LÄN</t>
        </is>
      </c>
      <c r="E167" t="inlineStr">
        <is>
          <t>HÄRRYDA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34668-2023</t>
        </is>
      </c>
      <c r="B168" s="1" t="n">
        <v>45140</v>
      </c>
      <c r="C168" s="1" t="n">
        <v>45587</v>
      </c>
      <c r="D168" t="inlineStr">
        <is>
          <t>VÄSTRA GÖTALANDS LÄN</t>
        </is>
      </c>
      <c r="E168" t="inlineStr">
        <is>
          <t>HÄRRYDA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35230-2023</t>
        </is>
      </c>
      <c r="B169" s="1" t="n">
        <v>45145</v>
      </c>
      <c r="C169" s="1" t="n">
        <v>45587</v>
      </c>
      <c r="D169" t="inlineStr">
        <is>
          <t>VÄSTRA GÖTALANDS LÄN</t>
        </is>
      </c>
      <c r="E169" t="inlineStr">
        <is>
          <t>HÄRRYDA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36831-2023</t>
        </is>
      </c>
      <c r="B170" s="1" t="n">
        <v>45154</v>
      </c>
      <c r="C170" s="1" t="n">
        <v>45587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37201-2023</t>
        </is>
      </c>
      <c r="B171" s="1" t="n">
        <v>45155</v>
      </c>
      <c r="C171" s="1" t="n">
        <v>45587</v>
      </c>
      <c r="D171" t="inlineStr">
        <is>
          <t>VÄSTRA GÖTALANDS LÄN</t>
        </is>
      </c>
      <c r="E171" t="inlineStr">
        <is>
          <t>HÄRRYDA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37453-2023</t>
        </is>
      </c>
      <c r="B172" s="1" t="n">
        <v>45156</v>
      </c>
      <c r="C172" s="1" t="n">
        <v>45587</v>
      </c>
      <c r="D172" t="inlineStr">
        <is>
          <t>VÄSTRA GÖTALANDS LÄN</t>
        </is>
      </c>
      <c r="E172" t="inlineStr">
        <is>
          <t>HÄRRYDA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37457-2023</t>
        </is>
      </c>
      <c r="B173" s="1" t="n">
        <v>45156</v>
      </c>
      <c r="C173" s="1" t="n">
        <v>45587</v>
      </c>
      <c r="D173" t="inlineStr">
        <is>
          <t>VÄSTRA GÖTALANDS LÄN</t>
        </is>
      </c>
      <c r="E173" t="inlineStr">
        <is>
          <t>HÄRRYDA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37454-2023</t>
        </is>
      </c>
      <c r="B174" s="1" t="n">
        <v>45156</v>
      </c>
      <c r="C174" s="1" t="n">
        <v>45587</v>
      </c>
      <c r="D174" t="inlineStr">
        <is>
          <t>VÄSTRA GÖTALANDS LÄN</t>
        </is>
      </c>
      <c r="E174" t="inlineStr">
        <is>
          <t>HÄRRYDA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38262-2023</t>
        </is>
      </c>
      <c r="B175" s="1" t="n">
        <v>45161</v>
      </c>
      <c r="C175" s="1" t="n">
        <v>45587</v>
      </c>
      <c r="D175" t="inlineStr">
        <is>
          <t>VÄSTRA GÖTALANDS LÄN</t>
        </is>
      </c>
      <c r="E175" t="inlineStr">
        <is>
          <t>HÄRRYDA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38743-2023</t>
        </is>
      </c>
      <c r="B176" s="1" t="n">
        <v>45163</v>
      </c>
      <c r="C176" s="1" t="n">
        <v>45587</v>
      </c>
      <c r="D176" t="inlineStr">
        <is>
          <t>VÄSTRA GÖTALANDS LÄN</t>
        </is>
      </c>
      <c r="E176" t="inlineStr">
        <is>
          <t>HÄRRYDA</t>
        </is>
      </c>
      <c r="G176" t="n">
        <v>12.1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39761-2023</t>
        </is>
      </c>
      <c r="B177" s="1" t="n">
        <v>45167</v>
      </c>
      <c r="C177" s="1" t="n">
        <v>45587</v>
      </c>
      <c r="D177" t="inlineStr">
        <is>
          <t>VÄSTRA GÖTALANDS LÄN</t>
        </is>
      </c>
      <c r="E177" t="inlineStr">
        <is>
          <t>HÄRRYDA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39762-2023</t>
        </is>
      </c>
      <c r="B178" s="1" t="n">
        <v>45167</v>
      </c>
      <c r="C178" s="1" t="n">
        <v>45587</v>
      </c>
      <c r="D178" t="inlineStr">
        <is>
          <t>VÄSTRA GÖTALANDS LÄN</t>
        </is>
      </c>
      <c r="E178" t="inlineStr">
        <is>
          <t>HÄRRYDA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40053-2023</t>
        </is>
      </c>
      <c r="B179" s="1" t="n">
        <v>45168</v>
      </c>
      <c r="C179" s="1" t="n">
        <v>45587</v>
      </c>
      <c r="D179" t="inlineStr">
        <is>
          <t>VÄSTRA GÖTALANDS LÄN</t>
        </is>
      </c>
      <c r="E179" t="inlineStr">
        <is>
          <t>HÄRRYDA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41457-2023</t>
        </is>
      </c>
      <c r="B180" s="1" t="n">
        <v>45175</v>
      </c>
      <c r="C180" s="1" t="n">
        <v>45587</v>
      </c>
      <c r="D180" t="inlineStr">
        <is>
          <t>VÄSTRA GÖTALANDS LÄN</t>
        </is>
      </c>
      <c r="E180" t="inlineStr">
        <is>
          <t>HÄRRYDA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49607-2023</t>
        </is>
      </c>
      <c r="B181" s="1" t="n">
        <v>45211</v>
      </c>
      <c r="C181" s="1" t="n">
        <v>45587</v>
      </c>
      <c r="D181" t="inlineStr">
        <is>
          <t>VÄSTRA GÖTALANDS LÄN</t>
        </is>
      </c>
      <c r="E181" t="inlineStr">
        <is>
          <t>HÄRRYDA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51012-2023</t>
        </is>
      </c>
      <c r="B182" s="1" t="n">
        <v>45218</v>
      </c>
      <c r="C182" s="1" t="n">
        <v>45587</v>
      </c>
      <c r="D182" t="inlineStr">
        <is>
          <t>VÄSTRA GÖTALANDS LÄN</t>
        </is>
      </c>
      <c r="E182" t="inlineStr">
        <is>
          <t>HÄRRYDA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51154-2023</t>
        </is>
      </c>
      <c r="B183" s="1" t="n">
        <v>45219</v>
      </c>
      <c r="C183" s="1" t="n">
        <v>45587</v>
      </c>
      <c r="D183" t="inlineStr">
        <is>
          <t>VÄSTRA GÖTALANDS LÄN</t>
        </is>
      </c>
      <c r="E183" t="inlineStr">
        <is>
          <t>HÄRRYDA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51127-2023</t>
        </is>
      </c>
      <c r="B184" s="1" t="n">
        <v>45219</v>
      </c>
      <c r="C184" s="1" t="n">
        <v>45587</v>
      </c>
      <c r="D184" t="inlineStr">
        <is>
          <t>VÄSTRA GÖTALANDS LÄN</t>
        </is>
      </c>
      <c r="E184" t="inlineStr">
        <is>
          <t>HÄRRYDA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51117-2023</t>
        </is>
      </c>
      <c r="B185" s="1" t="n">
        <v>45219</v>
      </c>
      <c r="C185" s="1" t="n">
        <v>45587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51157-2023</t>
        </is>
      </c>
      <c r="B186" s="1" t="n">
        <v>45219</v>
      </c>
      <c r="C186" s="1" t="n">
        <v>45587</v>
      </c>
      <c r="D186" t="inlineStr">
        <is>
          <t>VÄSTRA GÖTALANDS LÄN</t>
        </is>
      </c>
      <c r="E186" t="inlineStr">
        <is>
          <t>HÄRRYDA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51168-2023</t>
        </is>
      </c>
      <c r="B187" s="1" t="n">
        <v>45219</v>
      </c>
      <c r="C187" s="1" t="n">
        <v>45587</v>
      </c>
      <c r="D187" t="inlineStr">
        <is>
          <t>VÄSTRA GÖTALANDS LÄN</t>
        </is>
      </c>
      <c r="E187" t="inlineStr">
        <is>
          <t>HÄRRYDA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51172-2023</t>
        </is>
      </c>
      <c r="B188" s="1" t="n">
        <v>45219</v>
      </c>
      <c r="C188" s="1" t="n">
        <v>45587</v>
      </c>
      <c r="D188" t="inlineStr">
        <is>
          <t>VÄSTRA GÖTALANDS LÄN</t>
        </is>
      </c>
      <c r="E188" t="inlineStr">
        <is>
          <t>HÄRRYDA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51162-2023</t>
        </is>
      </c>
      <c r="B189" s="1" t="n">
        <v>45219</v>
      </c>
      <c r="C189" s="1" t="n">
        <v>45587</v>
      </c>
      <c r="D189" t="inlineStr">
        <is>
          <t>VÄSTRA GÖTALANDS LÄN</t>
        </is>
      </c>
      <c r="E189" t="inlineStr">
        <is>
          <t>HÄRRYDA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51130-2023</t>
        </is>
      </c>
      <c r="B190" s="1" t="n">
        <v>45219</v>
      </c>
      <c r="C190" s="1" t="n">
        <v>45587</v>
      </c>
      <c r="D190" t="inlineStr">
        <is>
          <t>VÄSTRA GÖTALANDS LÄN</t>
        </is>
      </c>
      <c r="E190" t="inlineStr">
        <is>
          <t>HÄRRYDA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51122-2023</t>
        </is>
      </c>
      <c r="B191" s="1" t="n">
        <v>45219</v>
      </c>
      <c r="C191" s="1" t="n">
        <v>45587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52166-2023</t>
        </is>
      </c>
      <c r="B192" s="1" t="n">
        <v>45224</v>
      </c>
      <c r="C192" s="1" t="n">
        <v>45587</v>
      </c>
      <c r="D192" t="inlineStr">
        <is>
          <t>VÄSTRA GÖTALANDS LÄN</t>
        </is>
      </c>
      <c r="E192" t="inlineStr">
        <is>
          <t>HÄRRYDA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52164-2023</t>
        </is>
      </c>
      <c r="B193" s="1" t="n">
        <v>45224</v>
      </c>
      <c r="C193" s="1" t="n">
        <v>45587</v>
      </c>
      <c r="D193" t="inlineStr">
        <is>
          <t>VÄSTRA GÖTALANDS LÄN</t>
        </is>
      </c>
      <c r="E193" t="inlineStr">
        <is>
          <t>HÄRRYDA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55071-2023</t>
        </is>
      </c>
      <c r="B194" s="1" t="n">
        <v>45237</v>
      </c>
      <c r="C194" s="1" t="n">
        <v>45587</v>
      </c>
      <c r="D194" t="inlineStr">
        <is>
          <t>VÄSTRA GÖTALANDS LÄN</t>
        </is>
      </c>
      <c r="E194" t="inlineStr">
        <is>
          <t>HÄRRYDA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56814-2023</t>
        </is>
      </c>
      <c r="B195" s="1" t="n">
        <v>45244</v>
      </c>
      <c r="C195" s="1" t="n">
        <v>45587</v>
      </c>
      <c r="D195" t="inlineStr">
        <is>
          <t>VÄSTRA GÖTALANDS LÄN</t>
        </is>
      </c>
      <c r="E195" t="inlineStr">
        <is>
          <t>HÄRRYDA</t>
        </is>
      </c>
      <c r="G195" t="n">
        <v>5.1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56832-2023</t>
        </is>
      </c>
      <c r="B196" s="1" t="n">
        <v>45244</v>
      </c>
      <c r="C196" s="1" t="n">
        <v>45587</v>
      </c>
      <c r="D196" t="inlineStr">
        <is>
          <t>VÄSTRA GÖTALANDS LÄN</t>
        </is>
      </c>
      <c r="E196" t="inlineStr">
        <is>
          <t>HÄRRYDA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58561-2023</t>
        </is>
      </c>
      <c r="B197" s="1" t="n">
        <v>45251</v>
      </c>
      <c r="C197" s="1" t="n">
        <v>45587</v>
      </c>
      <c r="D197" t="inlineStr">
        <is>
          <t>VÄSTRA GÖTALANDS LÄN</t>
        </is>
      </c>
      <c r="E197" t="inlineStr">
        <is>
          <t>HÄRRYDA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64206-2023</t>
        </is>
      </c>
      <c r="B198" s="1" t="n">
        <v>45279</v>
      </c>
      <c r="C198" s="1" t="n">
        <v>45587</v>
      </c>
      <c r="D198" t="inlineStr">
        <is>
          <t>VÄSTRA GÖTALANDS LÄN</t>
        </is>
      </c>
      <c r="E198" t="inlineStr">
        <is>
          <t>HÄRRYDA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64291-2023</t>
        </is>
      </c>
      <c r="B199" s="1" t="n">
        <v>45280</v>
      </c>
      <c r="C199" s="1" t="n">
        <v>45587</v>
      </c>
      <c r="D199" t="inlineStr">
        <is>
          <t>VÄSTRA GÖTALANDS LÄN</t>
        </is>
      </c>
      <c r="E199" t="inlineStr">
        <is>
          <t>HÄRRYDA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64560-2023</t>
        </is>
      </c>
      <c r="B200" s="1" t="n">
        <v>45281</v>
      </c>
      <c r="C200" s="1" t="n">
        <v>45587</v>
      </c>
      <c r="D200" t="inlineStr">
        <is>
          <t>VÄSTRA GÖTALANDS LÄN</t>
        </is>
      </c>
      <c r="E200" t="inlineStr">
        <is>
          <t>HÄRRYDA</t>
        </is>
      </c>
      <c r="G200" t="n">
        <v>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65080-2023</t>
        </is>
      </c>
      <c r="B201" s="1" t="n">
        <v>45287</v>
      </c>
      <c r="C201" s="1" t="n">
        <v>45587</v>
      </c>
      <c r="D201" t="inlineStr">
        <is>
          <t>VÄSTRA GÖTALANDS LÄN</t>
        </is>
      </c>
      <c r="E201" t="inlineStr">
        <is>
          <t>HÄRRYDA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1807-2024</t>
        </is>
      </c>
      <c r="B202" s="1" t="n">
        <v>45307</v>
      </c>
      <c r="C202" s="1" t="n">
        <v>45587</v>
      </c>
      <c r="D202" t="inlineStr">
        <is>
          <t>VÄSTRA GÖTALANDS LÄN</t>
        </is>
      </c>
      <c r="E202" t="inlineStr">
        <is>
          <t>HÄRRYDA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2480-2024</t>
        </is>
      </c>
      <c r="B203" s="1" t="n">
        <v>45313</v>
      </c>
      <c r="C203" s="1" t="n">
        <v>45587</v>
      </c>
      <c r="D203" t="inlineStr">
        <is>
          <t>VÄSTRA GÖTALANDS LÄN</t>
        </is>
      </c>
      <c r="E203" t="inlineStr">
        <is>
          <t>HÄRRYDA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2605-2024</t>
        </is>
      </c>
      <c r="B204" s="1" t="n">
        <v>45313</v>
      </c>
      <c r="C204" s="1" t="n">
        <v>45587</v>
      </c>
      <c r="D204" t="inlineStr">
        <is>
          <t>VÄSTRA GÖTALANDS LÄN</t>
        </is>
      </c>
      <c r="E204" t="inlineStr">
        <is>
          <t>HÄRRYDA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2946-2024</t>
        </is>
      </c>
      <c r="B205" s="1" t="n">
        <v>45315</v>
      </c>
      <c r="C205" s="1" t="n">
        <v>45587</v>
      </c>
      <c r="D205" t="inlineStr">
        <is>
          <t>VÄSTRA GÖTALANDS LÄN</t>
        </is>
      </c>
      <c r="E205" t="inlineStr">
        <is>
          <t>HÄRRYDA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2939-2024</t>
        </is>
      </c>
      <c r="B206" s="1" t="n">
        <v>45315</v>
      </c>
      <c r="C206" s="1" t="n">
        <v>45587</v>
      </c>
      <c r="D206" t="inlineStr">
        <is>
          <t>VÄSTRA GÖTALANDS LÄN</t>
        </is>
      </c>
      <c r="E206" t="inlineStr">
        <is>
          <t>HÄRRYDA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3753-2024</t>
        </is>
      </c>
      <c r="B207" s="1" t="n">
        <v>45321</v>
      </c>
      <c r="C207" s="1" t="n">
        <v>45587</v>
      </c>
      <c r="D207" t="inlineStr">
        <is>
          <t>VÄSTRA GÖTALANDS LÄN</t>
        </is>
      </c>
      <c r="E207" t="inlineStr">
        <is>
          <t>HÄRRYDA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4315-2024</t>
        </is>
      </c>
      <c r="B208" s="1" t="n">
        <v>45324</v>
      </c>
      <c r="C208" s="1" t="n">
        <v>45587</v>
      </c>
      <c r="D208" t="inlineStr">
        <is>
          <t>VÄSTRA GÖTALANDS LÄN</t>
        </is>
      </c>
      <c r="E208" t="inlineStr">
        <is>
          <t>HÄRRYDA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5580-2024</t>
        </is>
      </c>
      <c r="B209" s="1" t="n">
        <v>45334</v>
      </c>
      <c r="C209" s="1" t="n">
        <v>45587</v>
      </c>
      <c r="D209" t="inlineStr">
        <is>
          <t>VÄSTRA GÖTALANDS LÄN</t>
        </is>
      </c>
      <c r="E209" t="inlineStr">
        <is>
          <t>HÄRRYDA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5986-2024</t>
        </is>
      </c>
      <c r="B210" s="1" t="n">
        <v>45336</v>
      </c>
      <c r="C210" s="1" t="n">
        <v>45587</v>
      </c>
      <c r="D210" t="inlineStr">
        <is>
          <t>VÄSTRA GÖTALANDS LÄN</t>
        </is>
      </c>
      <c r="E210" t="inlineStr">
        <is>
          <t>HÄRRYDA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5990-2024</t>
        </is>
      </c>
      <c r="B211" s="1" t="n">
        <v>45336</v>
      </c>
      <c r="C211" s="1" t="n">
        <v>45587</v>
      </c>
      <c r="D211" t="inlineStr">
        <is>
          <t>VÄSTRA GÖTALANDS LÄN</t>
        </is>
      </c>
      <c r="E211" t="inlineStr">
        <is>
          <t>HÄRRYDA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5985-2024</t>
        </is>
      </c>
      <c r="B212" s="1" t="n">
        <v>45336</v>
      </c>
      <c r="C212" s="1" t="n">
        <v>45587</v>
      </c>
      <c r="D212" t="inlineStr">
        <is>
          <t>VÄSTRA GÖTALANDS LÄN</t>
        </is>
      </c>
      <c r="E212" t="inlineStr">
        <is>
          <t>HÄRRYDA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5987-2024</t>
        </is>
      </c>
      <c r="B213" s="1" t="n">
        <v>45336</v>
      </c>
      <c r="C213" s="1" t="n">
        <v>45587</v>
      </c>
      <c r="D213" t="inlineStr">
        <is>
          <t>VÄSTRA GÖTALANDS LÄN</t>
        </is>
      </c>
      <c r="E213" t="inlineStr">
        <is>
          <t>HÄRRYDA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6166-2024</t>
        </is>
      </c>
      <c r="B214" s="1" t="n">
        <v>45337</v>
      </c>
      <c r="C214" s="1" t="n">
        <v>45587</v>
      </c>
      <c r="D214" t="inlineStr">
        <is>
          <t>VÄSTRA GÖTALANDS LÄN</t>
        </is>
      </c>
      <c r="E214" t="inlineStr">
        <is>
          <t>HÄRRYDA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6168-2024</t>
        </is>
      </c>
      <c r="B215" s="1" t="n">
        <v>45337</v>
      </c>
      <c r="C215" s="1" t="n">
        <v>45587</v>
      </c>
      <c r="D215" t="inlineStr">
        <is>
          <t>VÄSTRA GÖTALANDS LÄN</t>
        </is>
      </c>
      <c r="E215" t="inlineStr">
        <is>
          <t>HÄRRYDA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8779-2024</t>
        </is>
      </c>
      <c r="B216" s="1" t="n">
        <v>45356</v>
      </c>
      <c r="C216" s="1" t="n">
        <v>45587</v>
      </c>
      <c r="D216" t="inlineStr">
        <is>
          <t>VÄSTRA GÖTALANDS LÄN</t>
        </is>
      </c>
      <c r="E216" t="inlineStr">
        <is>
          <t>HÄRRYDA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8794-2024</t>
        </is>
      </c>
      <c r="B217" s="1" t="n">
        <v>45356</v>
      </c>
      <c r="C217" s="1" t="n">
        <v>45587</v>
      </c>
      <c r="D217" t="inlineStr">
        <is>
          <t>VÄSTRA GÖTALANDS LÄN</t>
        </is>
      </c>
      <c r="E217" t="inlineStr">
        <is>
          <t>HÄRRYDA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9511-2024</t>
        </is>
      </c>
      <c r="B218" s="1" t="n">
        <v>45359</v>
      </c>
      <c r="C218" s="1" t="n">
        <v>45587</v>
      </c>
      <c r="D218" t="inlineStr">
        <is>
          <t>VÄSTRA GÖTALANDS LÄN</t>
        </is>
      </c>
      <c r="E218" t="inlineStr">
        <is>
          <t>HÄRRYDA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11040-2024</t>
        </is>
      </c>
      <c r="B219" s="1" t="n">
        <v>45370</v>
      </c>
      <c r="C219" s="1" t="n">
        <v>45587</v>
      </c>
      <c r="D219" t="inlineStr">
        <is>
          <t>VÄSTRA GÖTALANDS LÄN</t>
        </is>
      </c>
      <c r="E219" t="inlineStr">
        <is>
          <t>HÄRRYDA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11249-2024</t>
        </is>
      </c>
      <c r="B220" s="1" t="n">
        <v>45371</v>
      </c>
      <c r="C220" s="1" t="n">
        <v>45587</v>
      </c>
      <c r="D220" t="inlineStr">
        <is>
          <t>VÄSTRA GÖTALANDS LÄN</t>
        </is>
      </c>
      <c r="E220" t="inlineStr">
        <is>
          <t>HÄRRYDA</t>
        </is>
      </c>
      <c r="G220" t="n">
        <v>6.5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11372-2024</t>
        </is>
      </c>
      <c r="B221" s="1" t="n">
        <v>45372</v>
      </c>
      <c r="C221" s="1" t="n">
        <v>45587</v>
      </c>
      <c r="D221" t="inlineStr">
        <is>
          <t>VÄSTRA GÖTALANDS LÄN</t>
        </is>
      </c>
      <c r="E221" t="inlineStr">
        <is>
          <t>HÄRRYDA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11697-2024</t>
        </is>
      </c>
      <c r="B222" s="1" t="n">
        <v>45373</v>
      </c>
      <c r="C222" s="1" t="n">
        <v>45587</v>
      </c>
      <c r="D222" t="inlineStr">
        <is>
          <t>VÄSTRA GÖTALANDS LÄN</t>
        </is>
      </c>
      <c r="E222" t="inlineStr">
        <is>
          <t>HÄRRYDA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11939-2024</t>
        </is>
      </c>
      <c r="B223" s="1" t="n">
        <v>45376</v>
      </c>
      <c r="C223" s="1" t="n">
        <v>45587</v>
      </c>
      <c r="D223" t="inlineStr">
        <is>
          <t>VÄSTRA GÖTALANDS LÄN</t>
        </is>
      </c>
      <c r="E223" t="inlineStr">
        <is>
          <t>HÄRRYDA</t>
        </is>
      </c>
      <c r="G223" t="n">
        <v>7.1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12090-2024</t>
        </is>
      </c>
      <c r="B224" s="1" t="n">
        <v>45377</v>
      </c>
      <c r="C224" s="1" t="n">
        <v>45587</v>
      </c>
      <c r="D224" t="inlineStr">
        <is>
          <t>VÄSTRA GÖTALANDS LÄN</t>
        </is>
      </c>
      <c r="E224" t="inlineStr">
        <is>
          <t>HÄRRYDA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12091-2024</t>
        </is>
      </c>
      <c r="B225" s="1" t="n">
        <v>45377</v>
      </c>
      <c r="C225" s="1" t="n">
        <v>45587</v>
      </c>
      <c r="D225" t="inlineStr">
        <is>
          <t>VÄSTRA GÖTALANDS LÄN</t>
        </is>
      </c>
      <c r="E225" t="inlineStr">
        <is>
          <t>HÄRRYDA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12088-2024</t>
        </is>
      </c>
      <c r="B226" s="1" t="n">
        <v>45377</v>
      </c>
      <c r="C226" s="1" t="n">
        <v>45587</v>
      </c>
      <c r="D226" t="inlineStr">
        <is>
          <t>VÄSTRA GÖTALANDS LÄN</t>
        </is>
      </c>
      <c r="E226" t="inlineStr">
        <is>
          <t>HÄRRYDA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13197-2024</t>
        </is>
      </c>
      <c r="B227" s="1" t="n">
        <v>45386</v>
      </c>
      <c r="C227" s="1" t="n">
        <v>45587</v>
      </c>
      <c r="D227" t="inlineStr">
        <is>
          <t>VÄSTRA GÖTALANDS LÄN</t>
        </is>
      </c>
      <c r="E227" t="inlineStr">
        <is>
          <t>HÄRRYDA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13454-2024</t>
        </is>
      </c>
      <c r="B228" s="1" t="n">
        <v>45387</v>
      </c>
      <c r="C228" s="1" t="n">
        <v>45587</v>
      </c>
      <c r="D228" t="inlineStr">
        <is>
          <t>VÄSTRA GÖTALANDS LÄN</t>
        </is>
      </c>
      <c r="E228" t="inlineStr">
        <is>
          <t>HÄRRYDA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14183-2024</t>
        </is>
      </c>
      <c r="B229" s="1" t="n">
        <v>45393</v>
      </c>
      <c r="C229" s="1" t="n">
        <v>45587</v>
      </c>
      <c r="D229" t="inlineStr">
        <is>
          <t>VÄSTRA GÖTALANDS LÄN</t>
        </is>
      </c>
      <c r="E229" t="inlineStr">
        <is>
          <t>HÄRRYDA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14416-2024</t>
        </is>
      </c>
      <c r="B230" s="1" t="n">
        <v>45394</v>
      </c>
      <c r="C230" s="1" t="n">
        <v>45587</v>
      </c>
      <c r="D230" t="inlineStr">
        <is>
          <t>VÄSTRA GÖTALANDS LÄN</t>
        </is>
      </c>
      <c r="E230" t="inlineStr">
        <is>
          <t>HÄRRYDA</t>
        </is>
      </c>
      <c r="F230" t="inlineStr">
        <is>
          <t>Kommuner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17451-2024</t>
        </is>
      </c>
      <c r="B231" s="1" t="n">
        <v>45415</v>
      </c>
      <c r="C231" s="1" t="n">
        <v>45587</v>
      </c>
      <c r="D231" t="inlineStr">
        <is>
          <t>VÄSTRA GÖTALANDS LÄN</t>
        </is>
      </c>
      <c r="E231" t="inlineStr">
        <is>
          <t>HÄRRYDA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20961-2024</t>
        </is>
      </c>
      <c r="B232" s="1" t="n">
        <v>45439</v>
      </c>
      <c r="C232" s="1" t="n">
        <v>45587</v>
      </c>
      <c r="D232" t="inlineStr">
        <is>
          <t>VÄSTRA GÖTALANDS LÄN</t>
        </is>
      </c>
      <c r="E232" t="inlineStr">
        <is>
          <t>HÄRRYDA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22549-2024</t>
        </is>
      </c>
      <c r="B233" s="1" t="n">
        <v>45447</v>
      </c>
      <c r="C233" s="1" t="n">
        <v>45587</v>
      </c>
      <c r="D233" t="inlineStr">
        <is>
          <t>VÄSTRA GÖTALANDS LÄN</t>
        </is>
      </c>
      <c r="E233" t="inlineStr">
        <is>
          <t>HÄRRYDA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22548-2024</t>
        </is>
      </c>
      <c r="B234" s="1" t="n">
        <v>45447</v>
      </c>
      <c r="C234" s="1" t="n">
        <v>45587</v>
      </c>
      <c r="D234" t="inlineStr">
        <is>
          <t>VÄSTRA GÖTALANDS LÄN</t>
        </is>
      </c>
      <c r="E234" t="inlineStr">
        <is>
          <t>HÄRRYDA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26729-2024</t>
        </is>
      </c>
      <c r="B235" s="1" t="n">
        <v>45470</v>
      </c>
      <c r="C235" s="1" t="n">
        <v>45587</v>
      </c>
      <c r="D235" t="inlineStr">
        <is>
          <t>VÄSTRA GÖTALANDS LÄN</t>
        </is>
      </c>
      <c r="E235" t="inlineStr">
        <is>
          <t>HÄRRYDA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39374-2024</t>
        </is>
      </c>
      <c r="B236" s="1" t="n">
        <v>45551</v>
      </c>
      <c r="C236" s="1" t="n">
        <v>45587</v>
      </c>
      <c r="D236" t="inlineStr">
        <is>
          <t>VÄSTRA GÖTALANDS LÄN</t>
        </is>
      </c>
      <c r="E236" t="inlineStr">
        <is>
          <t>HÄRRYDA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45587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40230-2024</t>
        </is>
      </c>
      <c r="B238" s="1" t="n">
        <v>45554</v>
      </c>
      <c r="C238" s="1" t="n">
        <v>45587</v>
      </c>
      <c r="D238" t="inlineStr">
        <is>
          <t>VÄSTRA GÖTALANDS LÄN</t>
        </is>
      </c>
      <c r="E238" t="inlineStr">
        <is>
          <t>HÄRRYDA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41725-2024</t>
        </is>
      </c>
      <c r="B239" s="1" t="n">
        <v>45560</v>
      </c>
      <c r="C239" s="1" t="n">
        <v>45587</v>
      </c>
      <c r="D239" t="inlineStr">
        <is>
          <t>VÄSTRA GÖTALANDS LÄN</t>
        </is>
      </c>
      <c r="E239" t="inlineStr">
        <is>
          <t>HÄRRYDA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2024-10-22T12:58:49Z</dcterms:created>
  <dcterms:modified xmlns:dcterms="http://purl.org/dc/terms/" xmlns:xsi="http://www.w3.org/2001/XMLSchema-instance" xsi:type="dcterms:W3CDTF">2024-10-22T12:58:49Z</dcterms:modified>
</cp:coreProperties>
</file>