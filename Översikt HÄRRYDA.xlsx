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46311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46311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46311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46311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46311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46311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55274-2025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45968</v>
      </c>
      <c r="E17" s="1" t="n">
        <v>46311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Skuggmossa
Trådticka</t>
        </is>
      </c>
      <c r="W17">
        <f>HYPERLINK("https://klasma.github.io/Logging_1401/artfynd/A 55274-2025 artfynd.xlsx", "A 55274-2025")</f>
        <v/>
      </c>
      <c r="X17">
        <f>HYPERLINK("https://klasma.github.io/Logging_1401/kartor/A 55274-2025 karta.png", "A 55274-2025")</f>
        <v/>
      </c>
      <c r="Y17">
        <f>HYPERLINK("https://klasma.github.io/Logging_1401/kartor_geotiff/A 55274-2025 georefererad karta.tif", "A 55274-2025")</f>
        <v/>
      </c>
      <c r="AA17">
        <f>HYPERLINK("https://klasma.github.io/Logging_1401/klagomål/A 55274-2025 FSC-klagomål.docx", "A 55274-2025")</f>
        <v/>
      </c>
      <c r="AB17">
        <f>HYPERLINK("https://klasma.github.io/Logging_1401/klagomålsmail/A 55274-2025 FSC-klagomål mail.docx", "A 55274-2025")</f>
        <v/>
      </c>
      <c r="AC17">
        <f>HYPERLINK("https://klasma.github.io/Logging_1401/tillsyn/A 55274-2025 tillsynsbegäran.docx", "A 55274-2025")</f>
        <v/>
      </c>
      <c r="AD17">
        <f>HYPERLINK("https://klasma.github.io/Logging_1401/tillsynsmail/A 55274-2025 tillsynsbegäran mail.docx", "A 55274-2025")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46311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46311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46311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46311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46311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46311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46311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46311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46311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55686-2023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45239</v>
      </c>
      <c r="E27" s="1" t="n">
        <v>46311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3</v>
      </c>
      <c r="V27" s="2" t="inlineStr">
        <is>
          <t>Tjäder</t>
        </is>
      </c>
      <c r="W27">
        <f>HYPERLINK("https://klasma.github.io/Logging_1401/artfynd/A 55686-2023 artfynd.xlsx", "A 55686-2023")</f>
        <v/>
      </c>
      <c r="X27">
        <f>HYPERLINK("https://klasma.github.io/Logging_1401/kartor/A 55686-2023 karta.png", "A 55686-2023")</f>
        <v/>
      </c>
      <c r="Y27">
        <f>HYPERLINK("https://klasma.github.io/Logging_1401/kartor_geotiff/A 55686-2023 georefererad karta.tif", "A 55686-2023")</f>
        <v/>
      </c>
      <c r="AA27">
        <f>HYPERLINK("https://klasma.github.io/Logging_1401/klagomål/A 55686-2023 FSC-klagomål.docx", "A 55686-2023")</f>
        <v/>
      </c>
      <c r="AB27">
        <f>HYPERLINK("https://klasma.github.io/Logging_1401/klagomålsmail/A 55686-2023 FSC-klagomål mail.docx", "A 55686-2023")</f>
        <v/>
      </c>
      <c r="AC27">
        <f>HYPERLINK("https://klasma.github.io/Logging_1401/tillsyn/A 55686-2023 tillsynsbegäran.docx", "A 55686-2023")</f>
        <v/>
      </c>
      <c r="AD27">
        <f>HYPERLINK("https://klasma.github.io/Logging_1401/tillsynsmail/A 55686-2023 tillsynsbegäran mail.docx", "A 55686-2023")</f>
        <v/>
      </c>
      <c r="AE27">
        <f>HYPERLINK("https://klasma.github.io/Logging_1401/fåglar/A 55686-2023 prioriterade fågelarter.docx", "A 55686-2023")</f>
        <v/>
      </c>
    </row>
    <row r="28" ht="15" customHeight="1">
      <c r="A28" t="inlineStr">
        <is>
          <t>A 23492-2026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46311</v>
      </c>
      <c r="F28" t="inlineStr">
        <is>
          <t>VÄSTRA GÖTALANDS LÄN</t>
        </is>
      </c>
      <c r="G28" t="inlineStr">
        <is>
          <t>HÄRRYDA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23492-2026 artfynd.xlsx", "A 23492-2026")</f>
        <v/>
      </c>
      <c r="X28">
        <f>HYPERLINK("https://klasma.github.io/Logging_1401/kartor/A 23492-2026 karta.png", "A 23492-2026")</f>
        <v/>
      </c>
      <c r="Y28">
        <f>HYPERLINK("https://klasma.github.io/Logging_1401/kartor_geotiff/A 23492-2026 georefererad karta.tif", "A 23492-2026")</f>
        <v/>
      </c>
      <c r="AA28">
        <f>HYPERLINK("https://klasma.github.io/Logging_1401/klagomål/A 23492-2026 FSC-klagomål.docx", "A 23492-2026")</f>
        <v/>
      </c>
      <c r="AB28">
        <f>HYPERLINK("https://klasma.github.io/Logging_1401/klagomålsmail/A 23492-2026 FSC-klagomål mail.docx", "A 23492-2026")</f>
        <v/>
      </c>
      <c r="AC28">
        <f>HYPERLINK("https://klasma.github.io/Logging_1401/tillsyn/A 23492-2026 tillsynsbegäran.docx", "A 23492-2026")</f>
        <v/>
      </c>
      <c r="AD28">
        <f>HYPERLINK("https://klasma.github.io/Logging_1401/tillsynsmail/A 23492-2026 tillsynsbegäran mail.docx", "A 23492-2026")</f>
        <v/>
      </c>
    </row>
    <row r="29" ht="15" customHeight="1">
      <c r="A29" t="inlineStr">
        <is>
          <t>A 21398-2023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45063</v>
      </c>
      <c r="E29" s="1" t="n">
        <v>46311</v>
      </c>
      <c r="F29" t="inlineStr">
        <is>
          <t>VÄSTRA GÖTALANDS LÄN</t>
        </is>
      </c>
      <c r="G29" t="inlineStr">
        <is>
          <t>HÄRRYDA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21398-2023 artfynd.xlsx", "A 21398-2023")</f>
        <v/>
      </c>
      <c r="X29">
        <f>HYPERLINK("https://klasma.github.io/Logging_1401/kartor/A 21398-2023 karta.png", "A 21398-2023")</f>
        <v/>
      </c>
      <c r="Y29">
        <f>HYPERLINK("https://klasma.github.io/Logging_1401/kartor_geotiff/A 21398-2023 georefererad karta.tif", "A 21398-2023")</f>
        <v/>
      </c>
      <c r="AA29">
        <f>HYPERLINK("https://klasma.github.io/Logging_1401/klagomål/A 21398-2023 FSC-klagomål.docx", "A 21398-2023")</f>
        <v/>
      </c>
      <c r="AB29">
        <f>HYPERLINK("https://klasma.github.io/Logging_1401/klagomålsmail/A 21398-2023 FSC-klagomål mail.docx", "A 21398-2023")</f>
        <v/>
      </c>
      <c r="AC29">
        <f>HYPERLINK("https://klasma.github.io/Logging_1401/tillsyn/A 21398-2023 tillsynsbegäran.docx", "A 21398-2023")</f>
        <v/>
      </c>
      <c r="AD29">
        <f>HYPERLINK("https://klasma.github.io/Logging_1401/tillsynsmail/A 21398-2023 tillsynsbegäran mail.docx", "A 21398-2023")</f>
        <v/>
      </c>
    </row>
    <row r="30" ht="15" customHeight="1">
      <c r="A30" t="inlineStr">
        <is>
          <t>A 58481-2022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46311</v>
      </c>
      <c r="F30" t="inlineStr">
        <is>
          <t>VÄSTRA GÖTALANDS LÄN</t>
        </is>
      </c>
      <c r="G30" t="inlineStr">
        <is>
          <t>HÄRRYDA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58481-2022 artfynd.xlsx", "A 58481-2022")</f>
        <v/>
      </c>
      <c r="X30">
        <f>HYPERLINK("https://klasma.github.io/Logging_1401/kartor/A 58481-2022 karta.png", "A 58481-2022")</f>
        <v/>
      </c>
      <c r="Y30">
        <f>HYPERLINK("https://klasma.github.io/Logging_1401/kartor_geotiff/A 58481-2022 georefererad karta.tif", "A 58481-2022")</f>
        <v/>
      </c>
      <c r="AA30">
        <f>HYPERLINK("https://klasma.github.io/Logging_1401/klagomål/A 58481-2022 FSC-klagomål.docx", "A 58481-2022")</f>
        <v/>
      </c>
      <c r="AB30">
        <f>HYPERLINK("https://klasma.github.io/Logging_1401/klagomålsmail/A 58481-2022 FSC-klagomål mail.docx", "A 58481-2022")</f>
        <v/>
      </c>
      <c r="AC30">
        <f>HYPERLINK("https://klasma.github.io/Logging_1401/tillsyn/A 58481-2022 tillsynsbegäran.docx", "A 58481-2022")</f>
        <v/>
      </c>
      <c r="AD30">
        <f>HYPERLINK("https://klasma.github.io/Logging_1401/tillsynsmail/A 58481-2022 tillsynsbegäran mail.docx", "A 58481-2022")</f>
        <v/>
      </c>
    </row>
    <row r="31" ht="15" customHeight="1">
      <c r="A31" t="inlineStr">
        <is>
          <t>A 52164-2023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46311</v>
      </c>
      <c r="F31" t="inlineStr">
        <is>
          <t>VÄSTRA GÖTALANDS LÄN</t>
        </is>
      </c>
      <c r="G31" t="inlineStr">
        <is>
          <t>HÄRRYDA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Klippfrullania</t>
        </is>
      </c>
      <c r="W31">
        <f>HYPERLINK("https://klasma.github.io/Logging_1401/artfynd/A 52164-2023 artfynd.xlsx", "A 52164-2023")</f>
        <v/>
      </c>
      <c r="X31">
        <f>HYPERLINK("https://klasma.github.io/Logging_1401/kartor/A 52164-2023 karta.png", "A 52164-2023")</f>
        <v/>
      </c>
      <c r="Y31">
        <f>HYPERLINK("https://klasma.github.io/Logging_1401/kartor_geotiff/A 52164-2023 georefererad karta.tif", "A 52164-2023")</f>
        <v/>
      </c>
      <c r="AA31">
        <f>HYPERLINK("https://klasma.github.io/Logging_1401/klagomål/A 52164-2023 FSC-klagomål.docx", "A 52164-2023")</f>
        <v/>
      </c>
      <c r="AB31">
        <f>HYPERLINK("https://klasma.github.io/Logging_1401/klagomålsmail/A 52164-2023 FSC-klagomål mail.docx", "A 52164-2023")</f>
        <v/>
      </c>
      <c r="AC31">
        <f>HYPERLINK("https://klasma.github.io/Logging_1401/tillsyn/A 52164-2023 tillsynsbegäran.docx", "A 52164-2023")</f>
        <v/>
      </c>
      <c r="AD31">
        <f>HYPERLINK("https://klasma.github.io/Logging_1401/tillsynsmail/A 52164-2023 tillsynsbegäran mail.docx", "A 52164-2023")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46311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46311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46311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46311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46311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46311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46311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46311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46311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44694</v>
      </c>
      <c r="E43" s="1" t="n">
        <v>46311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46311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46311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46311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46311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46311</v>
      </c>
      <c r="F48" t="inlineStr">
        <is>
          <t>VÄSTRA GÖTALANDS LÄN</t>
        </is>
      </c>
      <c r="G48" t="inlineStr">
        <is>
          <t>HÄRRYDA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45813</v>
      </c>
      <c r="E49" s="1" t="n">
        <v>46311</v>
      </c>
      <c r="F49" t="inlineStr">
        <is>
          <t>VÄSTRA GÖTALANDS LÄN</t>
        </is>
      </c>
      <c r="G49" t="inlineStr">
        <is>
          <t>HÄRRYDA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45058</v>
      </c>
      <c r="E50" s="1" t="n">
        <v>46311</v>
      </c>
      <c r="F50" t="inlineStr">
        <is>
          <t>VÄSTRA GÖTALANDS LÄN</t>
        </is>
      </c>
      <c r="G50" t="inlineStr">
        <is>
          <t>HÄRRYDA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46311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45393</v>
      </c>
      <c r="E52" s="1" t="n">
        <v>46311</v>
      </c>
      <c r="F52" t="inlineStr">
        <is>
          <t>VÄSTRA GÖTALANDS LÄN</t>
        </is>
      </c>
      <c r="G52" t="inlineStr">
        <is>
          <t>HÄRRYDA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46311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51127-2023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46311</v>
      </c>
      <c r="F54" t="inlineStr">
        <is>
          <t>VÄSTRA GÖTALANDS LÄN</t>
        </is>
      </c>
      <c r="G54" t="inlineStr">
        <is>
          <t>HÄRRYDA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46311</v>
      </c>
      <c r="F55" t="inlineStr">
        <is>
          <t>VÄSTRA GÖTALANDS LÄN</t>
        </is>
      </c>
      <c r="G55" t="inlineStr">
        <is>
          <t>HÄRRYDA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45313</v>
      </c>
      <c r="E56" s="1" t="n">
        <v>46311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46311</v>
      </c>
      <c r="F57" t="inlineStr">
        <is>
          <t>VÄSTRA GÖTALANDS LÄN</t>
        </is>
      </c>
      <c r="G57" t="inlineStr">
        <is>
          <t>HÄRRYDA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46311</v>
      </c>
      <c r="F58" t="inlineStr">
        <is>
          <t>VÄSTRA GÖTALANDS LÄN</t>
        </is>
      </c>
      <c r="G58" t="inlineStr">
        <is>
          <t>HÄRRYDA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46311</v>
      </c>
      <c r="F59" t="inlineStr">
        <is>
          <t>VÄSTRA GÖTALANDS LÄN</t>
        </is>
      </c>
      <c r="G59" t="inlineStr">
        <is>
          <t>HÄRRYDA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46311</v>
      </c>
      <c r="F60" t="inlineStr">
        <is>
          <t>VÄSTRA GÖTALANDS LÄN</t>
        </is>
      </c>
      <c r="G60" t="inlineStr">
        <is>
          <t>HÄRRYDA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46311</v>
      </c>
      <c r="F61" t="inlineStr">
        <is>
          <t>VÄSTRA GÖTALANDS LÄN</t>
        </is>
      </c>
      <c r="G61" t="inlineStr">
        <is>
          <t>HÄRRYDA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46311</v>
      </c>
      <c r="F62" t="inlineStr">
        <is>
          <t>VÄSTRA GÖTALANDS LÄN</t>
        </is>
      </c>
      <c r="G62" t="inlineStr">
        <is>
          <t>HÄRRYDA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46311</v>
      </c>
      <c r="F63" t="inlineStr">
        <is>
          <t>VÄSTRA GÖTALANDS LÄN</t>
        </is>
      </c>
      <c r="G63" t="inlineStr">
        <is>
          <t>HÄRRYDA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45705</v>
      </c>
      <c r="E64" s="1" t="n">
        <v>46311</v>
      </c>
      <c r="F64" t="inlineStr">
        <is>
          <t>VÄSTRA GÖTALANDS LÄN</t>
        </is>
      </c>
      <c r="G64" t="inlineStr">
        <is>
          <t>HÄRRYDA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46311</v>
      </c>
      <c r="F65" t="inlineStr">
        <is>
          <t>VÄSTRA GÖTALANDS LÄN</t>
        </is>
      </c>
      <c r="G65" t="inlineStr">
        <is>
          <t>HÄRRYDA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46107</v>
      </c>
      <c r="E66" s="1" t="n">
        <v>46311</v>
      </c>
      <c r="F66" t="inlineStr">
        <is>
          <t>VÄSTRA GÖTALANDS LÄN</t>
        </is>
      </c>
      <c r="G66" t="inlineStr">
        <is>
          <t>HÄRRYDA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46311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46311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46311</v>
      </c>
      <c r="F69" t="inlineStr">
        <is>
          <t>VÄSTRA GÖTALANDS LÄN</t>
        </is>
      </c>
      <c r="G69" t="inlineStr">
        <is>
          <t>HÄRRYDA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45560</v>
      </c>
      <c r="E70" s="1" t="n">
        <v>46311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45377</v>
      </c>
      <c r="E71" s="1" t="n">
        <v>46311</v>
      </c>
      <c r="F71" t="inlineStr">
        <is>
          <t>VÄSTRA GÖTALANDS LÄN</t>
        </is>
      </c>
      <c r="G71" t="inlineStr">
        <is>
          <t>HÄRRYDA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46311</v>
      </c>
      <c r="F72" t="inlineStr">
        <is>
          <t>VÄSTRA GÖTALANDS LÄN</t>
        </is>
      </c>
      <c r="G72" t="inlineStr">
        <is>
          <t>HÄRRYDA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46311</v>
      </c>
      <c r="F73" t="inlineStr">
        <is>
          <t>VÄSTRA GÖTALANDS LÄN</t>
        </is>
      </c>
      <c r="G73" t="inlineStr">
        <is>
          <t>HÄRRYDA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46311</v>
      </c>
      <c r="F74" t="inlineStr">
        <is>
          <t>VÄSTRA GÖTALANDS LÄN</t>
        </is>
      </c>
      <c r="G74" t="inlineStr">
        <is>
          <t>HÄRRYDA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14468-2023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45012</v>
      </c>
      <c r="E75" s="1" t="n">
        <v>46311</v>
      </c>
      <c r="F75" t="inlineStr">
        <is>
          <t>VÄSTRA GÖTALANDS LÄN</t>
        </is>
      </c>
      <c r="G75" t="inlineStr">
        <is>
          <t>HÄRRYDA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46311</v>
      </c>
      <c r="F76" t="inlineStr">
        <is>
          <t>VÄSTRA GÖTALANDS LÄN</t>
        </is>
      </c>
      <c r="G76" t="inlineStr">
        <is>
          <t>HÄRRYDA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44960</v>
      </c>
      <c r="E77" s="1" t="n">
        <v>46311</v>
      </c>
      <c r="F77" t="inlineStr">
        <is>
          <t>VÄSTRA GÖTALANDS LÄN</t>
        </is>
      </c>
      <c r="G77" t="inlineStr">
        <is>
          <t>HÄRRYDA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46311</v>
      </c>
      <c r="F78" t="inlineStr">
        <is>
          <t>VÄSTRA GÖTALANDS LÄN</t>
        </is>
      </c>
      <c r="G78" t="inlineStr">
        <is>
          <t>HÄRRYDA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46311</v>
      </c>
      <c r="F79" t="inlineStr">
        <is>
          <t>VÄSTRA GÖTALANDS LÄN</t>
        </is>
      </c>
      <c r="G79" t="inlineStr">
        <is>
          <t>HÄRRYDA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46311</v>
      </c>
      <c r="F80" t="inlineStr">
        <is>
          <t>VÄSTRA GÖTALANDS LÄN</t>
        </is>
      </c>
      <c r="G80" t="inlineStr">
        <is>
          <t>HÄRRYDA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46311</v>
      </c>
      <c r="F81" t="inlineStr">
        <is>
          <t>VÄSTRA GÖTALANDS LÄN</t>
        </is>
      </c>
      <c r="G81" t="inlineStr">
        <is>
          <t>HÄRRYDA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46311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46311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46311</v>
      </c>
      <c r="F84" t="inlineStr">
        <is>
          <t>VÄSTRA GÖTALANDS LÄN</t>
        </is>
      </c>
      <c r="G84" t="inlineStr">
        <is>
          <t>HÄRRYDA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46311</v>
      </c>
      <c r="F85" t="inlineStr">
        <is>
          <t>VÄSTRA GÖTALANDS LÄN</t>
        </is>
      </c>
      <c r="G85" t="inlineStr">
        <is>
          <t>HÄRRYDA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46311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46311</v>
      </c>
      <c r="F87" t="inlineStr">
        <is>
          <t>VÄSTRA GÖTALANDS LÄN</t>
        </is>
      </c>
      <c r="G87" t="inlineStr">
        <is>
          <t>HÄRRYDA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46311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46311</v>
      </c>
      <c r="F89" t="inlineStr">
        <is>
          <t>VÄSTRA GÖTALANDS LÄN</t>
        </is>
      </c>
      <c r="G89" t="inlineStr">
        <is>
          <t>HÄRRYDA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46311</v>
      </c>
      <c r="F90" t="inlineStr">
        <is>
          <t>VÄSTRA GÖTALANDS LÄN</t>
        </is>
      </c>
      <c r="G90" t="inlineStr">
        <is>
          <t>HÄRRYDA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65080-2023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45287</v>
      </c>
      <c r="E91" s="1" t="n">
        <v>46311</v>
      </c>
      <c r="F91" t="inlineStr">
        <is>
          <t>VÄSTRA GÖTALANDS LÄN</t>
        </is>
      </c>
      <c r="G91" t="inlineStr">
        <is>
          <t>HÄRRYDA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46311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45307</v>
      </c>
      <c r="E93" s="1" t="n">
        <v>46311</v>
      </c>
      <c r="F93" t="inlineStr">
        <is>
          <t>VÄSTRA GÖTALANDS LÄN</t>
        </is>
      </c>
      <c r="G93" t="inlineStr">
        <is>
          <t>HÄRRYDA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44908</v>
      </c>
      <c r="E94" s="1" t="n">
        <v>46311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45925</v>
      </c>
      <c r="E95" s="1" t="n">
        <v>46311</v>
      </c>
      <c r="F95" t="inlineStr">
        <is>
          <t>VÄSTRA GÖTALANDS LÄN</t>
        </is>
      </c>
      <c r="G95" t="inlineStr">
        <is>
          <t>HÄRRYDA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46311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46311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45651</v>
      </c>
      <c r="E98" s="1" t="n">
        <v>46311</v>
      </c>
      <c r="F98" t="inlineStr">
        <is>
          <t>VÄSTRA GÖTALANDS LÄN</t>
        </is>
      </c>
      <c r="G98" t="inlineStr">
        <is>
          <t>HÄRRYDA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45935</v>
      </c>
      <c r="E99" s="1" t="n">
        <v>46311</v>
      </c>
      <c r="F99" t="inlineStr">
        <is>
          <t>VÄSTRA GÖTALANDS LÄN</t>
        </is>
      </c>
      <c r="G99" t="inlineStr">
        <is>
          <t>HÄRRYDA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46311</v>
      </c>
      <c r="F100" t="inlineStr">
        <is>
          <t>VÄSTRA GÖTALANDS LÄN</t>
        </is>
      </c>
      <c r="G100" t="inlineStr">
        <is>
          <t>HÄRRYDA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46311</v>
      </c>
      <c r="F101" t="inlineStr">
        <is>
          <t>VÄSTRA GÖTALANDS LÄN</t>
        </is>
      </c>
      <c r="G101" t="inlineStr">
        <is>
          <t>HÄRRYDA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46311</v>
      </c>
      <c r="F102" t="inlineStr">
        <is>
          <t>VÄSTRA GÖTALANDS LÄN</t>
        </is>
      </c>
      <c r="G102" t="inlineStr">
        <is>
          <t>HÄRRYDA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44732</v>
      </c>
      <c r="E103" s="1" t="n">
        <v>46311</v>
      </c>
      <c r="F103" t="inlineStr">
        <is>
          <t>VÄSTRA GÖTALANDS LÄN</t>
        </is>
      </c>
      <c r="G103" t="inlineStr">
        <is>
          <t>HÄRRYDA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44784</v>
      </c>
      <c r="E104" s="1" t="n">
        <v>46311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45950</v>
      </c>
      <c r="E105" s="1" t="n">
        <v>46311</v>
      </c>
      <c r="F105" t="inlineStr">
        <is>
          <t>VÄSTRA GÖTALANDS LÄN</t>
        </is>
      </c>
      <c r="G105" t="inlineStr">
        <is>
          <t>HÄRRYDA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46311</v>
      </c>
      <c r="F106" t="inlineStr">
        <is>
          <t>VÄSTRA GÖTALANDS LÄN</t>
        </is>
      </c>
      <c r="G106" t="inlineStr">
        <is>
          <t>HÄRRYDA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46311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46311</v>
      </c>
      <c r="F108" t="inlineStr">
        <is>
          <t>VÄSTRA GÖTALANDS LÄN</t>
        </is>
      </c>
      <c r="G108" t="inlineStr">
        <is>
          <t>HÄRRYDA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46311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46311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46223</v>
      </c>
      <c r="E111" s="1" t="n">
        <v>46311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46225</v>
      </c>
      <c r="E112" s="1" t="n">
        <v>46311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46311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46311</v>
      </c>
      <c r="F114" t="inlineStr">
        <is>
          <t>VÄSTRA GÖTALANDS LÄN</t>
        </is>
      </c>
      <c r="G114" t="inlineStr">
        <is>
          <t>HÄRRYDA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46311</v>
      </c>
      <c r="F115" t="inlineStr">
        <is>
          <t>VÄSTRA GÖTALANDS LÄN</t>
        </is>
      </c>
      <c r="G115" t="inlineStr">
        <is>
          <t>HÄRRYDA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46311</v>
      </c>
      <c r="F116" t="inlineStr">
        <is>
          <t>VÄSTRA GÖTALANDS LÄN</t>
        </is>
      </c>
      <c r="G116" t="inlineStr">
        <is>
          <t>HÄRRYDA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46269</v>
      </c>
      <c r="E117" s="1" t="n">
        <v>46311</v>
      </c>
      <c r="F117" t="inlineStr">
        <is>
          <t>VÄSTRA GÖTALANDS LÄN</t>
        </is>
      </c>
      <c r="G117" t="inlineStr">
        <is>
          <t>HÄRRYDA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44911</v>
      </c>
      <c r="E118" s="1" t="n">
        <v>46311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46311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46311</v>
      </c>
      <c r="F120" t="inlineStr">
        <is>
          <t>VÄSTRA GÖTALANDS LÄN</t>
        </is>
      </c>
      <c r="G120" t="inlineStr">
        <is>
          <t>HÄRRYDA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46311</v>
      </c>
      <c r="F121" t="inlineStr">
        <is>
          <t>VÄSTRA GÖTALANDS LÄN</t>
        </is>
      </c>
      <c r="G121" t="inlineStr">
        <is>
          <t>HÄRRYDA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45968</v>
      </c>
      <c r="E122" s="1" t="n">
        <v>46311</v>
      </c>
      <c r="F122" t="inlineStr">
        <is>
          <t>VÄSTRA GÖTALANDS LÄN</t>
        </is>
      </c>
      <c r="G122" t="inlineStr">
        <is>
          <t>HÄRRYDA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46311</v>
      </c>
      <c r="F123" t="inlineStr">
        <is>
          <t>VÄSTRA GÖTALANDS LÄN</t>
        </is>
      </c>
      <c r="G123" t="inlineStr">
        <is>
          <t>HÄRRYDA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45237</v>
      </c>
      <c r="E124" s="1" t="n">
        <v>46311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46238</v>
      </c>
      <c r="E125" s="1" t="n">
        <v>46311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46311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46311</v>
      </c>
      <c r="F127" t="inlineStr">
        <is>
          <t>VÄSTRA GÖTALANDS LÄN</t>
        </is>
      </c>
      <c r="G127" t="inlineStr">
        <is>
          <t>HÄRRYDA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46311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46311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60323-2025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46311</v>
      </c>
      <c r="F130" t="inlineStr">
        <is>
          <t>VÄSTRA GÖTALANDS LÄN</t>
        </is>
      </c>
      <c r="G130" t="inlineStr">
        <is>
          <t>HÄRRYDA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46296</v>
      </c>
      <c r="E131" s="1" t="n">
        <v>46311</v>
      </c>
      <c r="F131" t="inlineStr">
        <is>
          <t>VÄSTRA GÖTALANDS LÄN</t>
        </is>
      </c>
      <c r="G131" t="inlineStr">
        <is>
          <t>HÄRRYDA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46311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46295</v>
      </c>
      <c r="E133" s="1" t="n">
        <v>46311</v>
      </c>
      <c r="F133" t="inlineStr">
        <is>
          <t>VÄSTRA GÖTALANDS LÄN</t>
        </is>
      </c>
      <c r="G133" t="inlineStr">
        <is>
          <t>HÄRRYDA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45704</v>
      </c>
      <c r="E134" s="1" t="n">
        <v>46311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46311</v>
      </c>
      <c r="F135" t="inlineStr">
        <is>
          <t>VÄSTRA GÖTALANDS LÄN</t>
        </is>
      </c>
      <c r="G135" t="inlineStr">
        <is>
          <t>HÄRRYDA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46311</v>
      </c>
      <c r="F136" t="inlineStr">
        <is>
          <t>VÄSTRA GÖTALANDS LÄN</t>
        </is>
      </c>
      <c r="G136" t="inlineStr">
        <is>
          <t>HÄRRYDA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46311</v>
      </c>
      <c r="F137" t="inlineStr">
        <is>
          <t>VÄSTRA GÖTALANDS LÄN</t>
        </is>
      </c>
      <c r="G137" t="inlineStr">
        <is>
          <t>HÄRRYDA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46311</v>
      </c>
      <c r="F138" t="inlineStr">
        <is>
          <t>VÄSTRA GÖTALANDS LÄN</t>
        </is>
      </c>
      <c r="G138" t="inlineStr">
        <is>
          <t>HÄRRYDA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46311</v>
      </c>
      <c r="F139" t="inlineStr">
        <is>
          <t>VÄSTRA GÖTALANDS LÄN</t>
        </is>
      </c>
      <c r="G139" t="inlineStr">
        <is>
          <t>HÄRRYDA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46311</v>
      </c>
      <c r="F140" t="inlineStr">
        <is>
          <t>VÄSTRA GÖTALANDS LÄN</t>
        </is>
      </c>
      <c r="G140" t="inlineStr">
        <is>
          <t>HÄRRYDA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46311</v>
      </c>
      <c r="F141" t="inlineStr">
        <is>
          <t>VÄSTRA GÖTALANDS LÄN</t>
        </is>
      </c>
      <c r="G141" t="inlineStr">
        <is>
          <t>HÄRRYDA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46306</v>
      </c>
      <c r="E142" s="1" t="n">
        <v>46311</v>
      </c>
      <c r="F142" t="inlineStr">
        <is>
          <t>VÄSTRA GÖTALANDS LÄN</t>
        </is>
      </c>
      <c r="G142" t="inlineStr">
        <is>
          <t>HÄRRYDA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42481-2026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46308</v>
      </c>
      <c r="E143" s="1" t="n">
        <v>46311</v>
      </c>
      <c r="F143" t="inlineStr">
        <is>
          <t>VÄSTRA GÖTALANDS LÄN</t>
        </is>
      </c>
      <c r="G143" t="inlineStr">
        <is>
          <t>HÄRRYDA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46309</v>
      </c>
      <c r="E144" s="1" t="n">
        <v>46311</v>
      </c>
      <c r="F144" t="inlineStr">
        <is>
          <t>VÄSTRA GÖTALANDS LÄN</t>
        </is>
      </c>
      <c r="G144" t="inlineStr">
        <is>
          <t>HÄRRYDA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42820-2026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46309</v>
      </c>
      <c r="E145" s="1" t="n">
        <v>46311</v>
      </c>
      <c r="F145" t="inlineStr">
        <is>
          <t>VÄSTRA GÖTALANDS LÄN</t>
        </is>
      </c>
      <c r="G145" t="inlineStr">
        <is>
          <t>HÄRRYDA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2026-10-16T02:17:01Z</dcterms:created>
  <dcterms:modified xmlns:dcterms="http://purl.org/dc/terms/" xmlns:xsi="http://www.w3.org/2001/XMLSchema-instance" xsi:type="dcterms:W3CDTF">2026-10-16T02:17:01Z</dcterms:modified>
</cp:coreProperties>
</file>