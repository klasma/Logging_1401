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46317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46317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46317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46317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46317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46317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46317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46317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46317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43785-2026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46316</v>
      </c>
      <c r="E19" s="1" t="n">
        <v>46317</v>
      </c>
      <c r="F19" t="inlineStr">
        <is>
          <t>VÄSTRA GÖTALANDS LÄN</t>
        </is>
      </c>
      <c r="G19" t="inlineStr">
        <is>
          <t>HÄRRYDA</t>
        </is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43785-2026 artfynd.xlsx", "A 43785-2026")</f>
        <v/>
      </c>
      <c r="X19">
        <f>HYPERLINK("https://klasma.github.io/Logging_1401/kartor/A 43785-2026 karta.png", "A 43785-2026")</f>
        <v/>
      </c>
      <c r="Y19">
        <f>HYPERLINK("https://klasma.github.io/Logging_1401/kartor_geotiff/A 43785-2026 georefererad karta.tif", "A 43785-2026")</f>
        <v/>
      </c>
      <c r="AA19">
        <f>HYPERLINK("https://klasma.github.io/Logging_1401/klagomål/A 43785-2026 FSC-klagomål.docx", "A 43785-2026")</f>
        <v/>
      </c>
      <c r="AB19">
        <f>HYPERLINK("https://klasma.github.io/Logging_1401/klagomålsmail/A 43785-2026 FSC-klagomål mail.docx", "A 43785-2026")</f>
        <v/>
      </c>
      <c r="AC19">
        <f>HYPERLINK("https://klasma.github.io/Logging_1401/tillsyn/A 43785-2026 tillsynsbegäran.docx", "A 43785-2026")</f>
        <v/>
      </c>
      <c r="AD19">
        <f>HYPERLINK("https://klasma.github.io/Logging_1401/tillsynsmail/A 43785-2026 tillsynsbegäran mail.docx", "A 43785-2026")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46317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46317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46317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46317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46317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47362-2024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46317</v>
      </c>
      <c r="F25" t="inlineStr">
        <is>
          <t>VÄSTRA GÖTALANDS LÄN</t>
        </is>
      </c>
      <c r="G25" t="inlineStr">
        <is>
          <t>HÄRRYDA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47362-2024 artfynd.xlsx", "A 47362-2024")</f>
        <v/>
      </c>
      <c r="X25">
        <f>HYPERLINK("https://klasma.github.io/Logging_1401/kartor/A 47362-2024 karta.png", "A 47362-2024")</f>
        <v/>
      </c>
      <c r="Y25">
        <f>HYPERLINK("https://klasma.github.io/Logging_1401/kartor_geotiff/A 47362-2024 georefererad karta.tif", "A 47362-2024")</f>
        <v/>
      </c>
      <c r="AA25">
        <f>HYPERLINK("https://klasma.github.io/Logging_1401/klagomål/A 47362-2024 FSC-klagomål.docx", "A 47362-2024")</f>
        <v/>
      </c>
      <c r="AB25">
        <f>HYPERLINK("https://klasma.github.io/Logging_1401/klagomålsmail/A 47362-2024 FSC-klagomål mail.docx", "A 47362-2024")</f>
        <v/>
      </c>
      <c r="AC25">
        <f>HYPERLINK("https://klasma.github.io/Logging_1401/tillsyn/A 47362-2024 tillsynsbegäran.docx", "A 47362-2024")</f>
        <v/>
      </c>
      <c r="AD25">
        <f>HYPERLINK("https://klasma.github.io/Logging_1401/tillsynsmail/A 47362-2024 tillsynsbegäran mail.docx", "A 47362-2024")</f>
        <v/>
      </c>
    </row>
    <row r="26" ht="15" customHeight="1">
      <c r="A26" t="inlineStr">
        <is>
          <t>A 41457-2023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46317</v>
      </c>
      <c r="F26" t="inlineStr">
        <is>
          <t>VÄSTRA GÖTALANDS LÄN</t>
        </is>
      </c>
      <c r="G26" t="inlineStr">
        <is>
          <t>HÄRRYDA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Almkrämskinn</t>
        </is>
      </c>
      <c r="W26">
        <f>HYPERLINK("https://klasma.github.io/Logging_1401/artfynd/A 41457-2023 artfynd.xlsx", "A 41457-2023")</f>
        <v/>
      </c>
      <c r="X26">
        <f>HYPERLINK("https://klasma.github.io/Logging_1401/kartor/A 41457-2023 karta.png", "A 41457-2023")</f>
        <v/>
      </c>
      <c r="Y26">
        <f>HYPERLINK("https://klasma.github.io/Logging_1401/kartor_geotiff/A 41457-2023 georefererad karta.tif", "A 41457-2023")</f>
        <v/>
      </c>
      <c r="AA26">
        <f>HYPERLINK("https://klasma.github.io/Logging_1401/klagomål/A 41457-2023 FSC-klagomål.docx", "A 41457-2023")</f>
        <v/>
      </c>
      <c r="AB26">
        <f>HYPERLINK("https://klasma.github.io/Logging_1401/klagomålsmail/A 41457-2023 FSC-klagomål mail.docx", "A 41457-2023")</f>
        <v/>
      </c>
      <c r="AC26">
        <f>HYPERLINK("https://klasma.github.io/Logging_1401/tillsyn/A 41457-2023 tillsynsbegäran.docx", "A 41457-2023")</f>
        <v/>
      </c>
      <c r="AD26">
        <f>HYPERLINK("https://klasma.github.io/Logging_1401/tillsynsmail/A 41457-2023 tillsynsbegäran mail.docx", "A 41457-2023")</f>
        <v/>
      </c>
    </row>
    <row r="27" ht="15" customHeight="1">
      <c r="A27" t="inlineStr">
        <is>
          <t>A 19977-2022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44697</v>
      </c>
      <c r="E27" s="1" t="n">
        <v>46317</v>
      </c>
      <c r="F27" t="inlineStr">
        <is>
          <t>VÄSTRA GÖTALANDS LÄN</t>
        </is>
      </c>
      <c r="G27" t="inlineStr">
        <is>
          <t>HÄRRYDA</t>
        </is>
      </c>
      <c r="I27" t="n">
        <v>4.7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19977-2022 artfynd.xlsx", "A 19977-2022")</f>
        <v/>
      </c>
      <c r="X27">
        <f>HYPERLINK("https://klasma.github.io/Logging_1401/kartor/A 19977-2022 karta.png", "A 19977-2022")</f>
        <v/>
      </c>
      <c r="Y27">
        <f>HYPERLINK("https://klasma.github.io/Logging_1401/kartor_geotiff/A 19977-2022 georefererad karta.tif", "A 19977-2022")</f>
        <v/>
      </c>
      <c r="AA27">
        <f>HYPERLINK("https://klasma.github.io/Logging_1401/klagomål/A 19977-2022 FSC-klagomål.docx", "A 19977-2022")</f>
        <v/>
      </c>
      <c r="AB27">
        <f>HYPERLINK("https://klasma.github.io/Logging_1401/klagomålsmail/A 19977-2022 FSC-klagomål mail.docx", "A 19977-2022")</f>
        <v/>
      </c>
      <c r="AC27">
        <f>HYPERLINK("https://klasma.github.io/Logging_1401/tillsyn/A 19977-2022 tillsynsbegäran.docx", "A 19977-2022")</f>
        <v/>
      </c>
      <c r="AD27">
        <f>HYPERLINK("https://klasma.github.io/Logging_1401/tillsynsmail/A 19977-2022 tillsynsbegäran mail.docx", "A 19977-2022")</f>
        <v/>
      </c>
    </row>
    <row r="28" ht="15" customHeight="1">
      <c r="A28" t="inlineStr">
        <is>
          <t>A 23492-2026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46163</v>
      </c>
      <c r="E28" s="1" t="n">
        <v>46317</v>
      </c>
      <c r="F28" t="inlineStr">
        <is>
          <t>VÄSTRA GÖTALANDS LÄN</t>
        </is>
      </c>
      <c r="G28" t="inlineStr">
        <is>
          <t>HÄRRYDA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23492-2026 artfynd.xlsx", "A 23492-2026")</f>
        <v/>
      </c>
      <c r="X28">
        <f>HYPERLINK("https://klasma.github.io/Logging_1401/kartor/A 23492-2026 karta.png", "A 23492-2026")</f>
        <v/>
      </c>
      <c r="Y28">
        <f>HYPERLINK("https://klasma.github.io/Logging_1401/kartor_geotiff/A 23492-2026 georefererad karta.tif", "A 23492-2026")</f>
        <v/>
      </c>
      <c r="AA28">
        <f>HYPERLINK("https://klasma.github.io/Logging_1401/klagomål/A 23492-2026 FSC-klagomål.docx", "A 23492-2026")</f>
        <v/>
      </c>
      <c r="AB28">
        <f>HYPERLINK("https://klasma.github.io/Logging_1401/klagomålsmail/A 23492-2026 FSC-klagomål mail.docx", "A 23492-2026")</f>
        <v/>
      </c>
      <c r="AC28">
        <f>HYPERLINK("https://klasma.github.io/Logging_1401/tillsyn/A 23492-2026 tillsynsbegäran.docx", "A 23492-2026")</f>
        <v/>
      </c>
      <c r="AD28">
        <f>HYPERLINK("https://klasma.github.io/Logging_1401/tillsynsmail/A 23492-2026 tillsynsbegäran mail.docx", "A 23492-2026")</f>
        <v/>
      </c>
    </row>
    <row r="29" ht="15" customHeight="1">
      <c r="A29" t="inlineStr">
        <is>
          <t>A 21398-2023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45063</v>
      </c>
      <c r="E29" s="1" t="n">
        <v>46317</v>
      </c>
      <c r="F29" t="inlineStr">
        <is>
          <t>VÄSTRA GÖTALANDS LÄN</t>
        </is>
      </c>
      <c r="G29" t="inlineStr">
        <is>
          <t>HÄRRYDA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21398-2023 artfynd.xlsx", "A 21398-2023")</f>
        <v/>
      </c>
      <c r="X29">
        <f>HYPERLINK("https://klasma.github.io/Logging_1401/kartor/A 21398-2023 karta.png", "A 21398-2023")</f>
        <v/>
      </c>
      <c r="Y29">
        <f>HYPERLINK("https://klasma.github.io/Logging_1401/kartor_geotiff/A 21398-2023 georefererad karta.tif", "A 21398-2023")</f>
        <v/>
      </c>
      <c r="AA29">
        <f>HYPERLINK("https://klasma.github.io/Logging_1401/klagomål/A 21398-2023 FSC-klagomål.docx", "A 21398-2023")</f>
        <v/>
      </c>
      <c r="AB29">
        <f>HYPERLINK("https://klasma.github.io/Logging_1401/klagomålsmail/A 21398-2023 FSC-klagomål mail.docx", "A 21398-2023")</f>
        <v/>
      </c>
      <c r="AC29">
        <f>HYPERLINK("https://klasma.github.io/Logging_1401/tillsyn/A 21398-2023 tillsynsbegäran.docx", "A 21398-2023")</f>
        <v/>
      </c>
      <c r="AD29">
        <f>HYPERLINK("https://klasma.github.io/Logging_1401/tillsynsmail/A 21398-2023 tillsynsbegäran mail.docx", "A 21398-2023")</f>
        <v/>
      </c>
    </row>
    <row r="30" ht="15" customHeight="1">
      <c r="A30" t="inlineStr">
        <is>
          <t>A 58481-2022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46317</v>
      </c>
      <c r="F30" t="inlineStr">
        <is>
          <t>VÄSTRA GÖTALANDS LÄN</t>
        </is>
      </c>
      <c r="G30" t="inlineStr">
        <is>
          <t>HÄRRYDA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58481-2022 artfynd.xlsx", "A 58481-2022")</f>
        <v/>
      </c>
      <c r="X30">
        <f>HYPERLINK("https://klasma.github.io/Logging_1401/kartor/A 58481-2022 karta.png", "A 58481-2022")</f>
        <v/>
      </c>
      <c r="Y30">
        <f>HYPERLINK("https://klasma.github.io/Logging_1401/kartor_geotiff/A 58481-2022 georefererad karta.tif", "A 58481-2022")</f>
        <v/>
      </c>
      <c r="AA30">
        <f>HYPERLINK("https://klasma.github.io/Logging_1401/klagomål/A 58481-2022 FSC-klagomål.docx", "A 58481-2022")</f>
        <v/>
      </c>
      <c r="AB30">
        <f>HYPERLINK("https://klasma.github.io/Logging_1401/klagomålsmail/A 58481-2022 FSC-klagomål mail.docx", "A 58481-2022")</f>
        <v/>
      </c>
      <c r="AC30">
        <f>HYPERLINK("https://klasma.github.io/Logging_1401/tillsyn/A 58481-2022 tillsynsbegäran.docx", "A 58481-2022")</f>
        <v/>
      </c>
      <c r="AD30">
        <f>HYPERLINK("https://klasma.github.io/Logging_1401/tillsynsmail/A 58481-2022 tillsynsbegäran mail.docx", "A 58481-2022")</f>
        <v/>
      </c>
    </row>
    <row r="31" ht="15" customHeight="1">
      <c r="A31" t="inlineStr">
        <is>
          <t>A 40282-2026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46294</v>
      </c>
      <c r="E31" s="1" t="n">
        <v>46317</v>
      </c>
      <c r="F31" t="inlineStr">
        <is>
          <t>VÄSTRA GÖTALANDS LÄN</t>
        </is>
      </c>
      <c r="G31" t="inlineStr">
        <is>
          <t>HÄRRYDA</t>
        </is>
      </c>
      <c r="I31" t="n">
        <v>1.8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Rostfläck</t>
        </is>
      </c>
      <c r="W31">
        <f>HYPERLINK("https://klasma.github.io/Logging_1401/artfynd/A 40282-2026 artfynd.xlsx", "A 40282-2026")</f>
        <v/>
      </c>
      <c r="X31">
        <f>HYPERLINK("https://klasma.github.io/Logging_1401/kartor/A 40282-2026 karta.png", "A 40282-2026")</f>
        <v/>
      </c>
      <c r="Y31">
        <f>HYPERLINK("https://klasma.github.io/Logging_1401/kartor_geotiff/A 40282-2026 georefererad karta.tif", "A 40282-2026")</f>
        <v/>
      </c>
      <c r="AA31">
        <f>HYPERLINK("https://klasma.github.io/Logging_1401/klagomål/A 40282-2026 FSC-klagomål.docx", "A 40282-2026")</f>
        <v/>
      </c>
      <c r="AB31">
        <f>HYPERLINK("https://klasma.github.io/Logging_1401/klagomålsmail/A 40282-2026 FSC-klagomål mail.docx", "A 40282-2026")</f>
        <v/>
      </c>
      <c r="AC31">
        <f>HYPERLINK("https://klasma.github.io/Logging_1401/tillsyn/A 40282-2026 tillsynsbegäran.docx", "A 40282-2026")</f>
        <v/>
      </c>
      <c r="AD31">
        <f>HYPERLINK("https://klasma.github.io/Logging_1401/tillsynsmail/A 40282-2026 tillsynsbegäran mail.docx", "A 40282-2026")</f>
        <v/>
      </c>
    </row>
    <row r="32" ht="15" customHeight="1">
      <c r="A32" t="inlineStr">
        <is>
          <t>A 52164-2023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45224</v>
      </c>
      <c r="E32" s="1" t="n">
        <v>46317</v>
      </c>
      <c r="F32" t="inlineStr">
        <is>
          <t>VÄSTRA GÖTALANDS LÄN</t>
        </is>
      </c>
      <c r="G32" t="inlineStr">
        <is>
          <t>HÄRRYDA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Klippfrullania</t>
        </is>
      </c>
      <c r="W32">
        <f>HYPERLINK("https://klasma.github.io/Logging_1401/artfynd/A 52164-2023 artfynd.xlsx", "A 52164-2023")</f>
        <v/>
      </c>
      <c r="X32">
        <f>HYPERLINK("https://klasma.github.io/Logging_1401/kartor/A 52164-2023 karta.png", "A 52164-2023")</f>
        <v/>
      </c>
      <c r="Y32">
        <f>HYPERLINK("https://klasma.github.io/Logging_1401/kartor_geotiff/A 52164-2023 georefererad karta.tif", "A 52164-2023")</f>
        <v/>
      </c>
      <c r="AA32">
        <f>HYPERLINK("https://klasma.github.io/Logging_1401/klagomål/A 52164-2023 FSC-klagomål.docx", "A 52164-2023")</f>
        <v/>
      </c>
      <c r="AB32">
        <f>HYPERLINK("https://klasma.github.io/Logging_1401/klagomålsmail/A 52164-2023 FSC-klagomål mail.docx", "A 52164-2023")</f>
        <v/>
      </c>
      <c r="AC32">
        <f>HYPERLINK("https://klasma.github.io/Logging_1401/tillsyn/A 52164-2023 tillsynsbegäran.docx", "A 52164-2023")</f>
        <v/>
      </c>
      <c r="AD32">
        <f>HYPERLINK("https://klasma.github.io/Logging_1401/tillsynsmail/A 52164-2023 tillsynsbegäran mail.docx", "A 52164-2023")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46317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46317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46317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46317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46317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46317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46317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46317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46317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46317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46317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46317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46317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46317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46317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46317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46317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45313</v>
      </c>
      <c r="E50" s="1" t="n">
        <v>46317</v>
      </c>
      <c r="F50" t="inlineStr">
        <is>
          <t>VÄSTRA GÖTALANDS LÄN</t>
        </is>
      </c>
      <c r="G50" t="inlineStr">
        <is>
          <t>HÄRRYDA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45704</v>
      </c>
      <c r="E51" s="1" t="n">
        <v>46317</v>
      </c>
      <c r="F51" t="inlineStr">
        <is>
          <t>VÄSTRA GÖTALANDS LÄN</t>
        </is>
      </c>
      <c r="G51" t="inlineStr">
        <is>
          <t>HÄRRYDA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46317</v>
      </c>
      <c r="F52" t="inlineStr">
        <is>
          <t>VÄSTRA GÖTALANDS LÄN</t>
        </is>
      </c>
      <c r="G52" t="inlineStr">
        <is>
          <t>HÄRRYDA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9494-2025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46317</v>
      </c>
      <c r="F53" t="inlineStr">
        <is>
          <t>VÄSTRA GÖTALANDS LÄN</t>
        </is>
      </c>
      <c r="G53" t="inlineStr">
        <is>
          <t>HÄRRYDA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46317</v>
      </c>
      <c r="F54" t="inlineStr">
        <is>
          <t>VÄSTRA GÖTALANDS LÄN</t>
        </is>
      </c>
      <c r="G54" t="inlineStr">
        <is>
          <t>HÄRRYDA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46317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46317</v>
      </c>
      <c r="F56" t="inlineStr">
        <is>
          <t>VÄSTRA GÖTALANDS LÄN</t>
        </is>
      </c>
      <c r="G56" t="inlineStr">
        <is>
          <t>HÄRRYDA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40306-2025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46317</v>
      </c>
      <c r="F57" t="inlineStr">
        <is>
          <t>VÄSTRA GÖTALANDS LÄN</t>
        </is>
      </c>
      <c r="G57" t="inlineStr">
        <is>
          <t>HÄRRYDA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45012</v>
      </c>
      <c r="E58" s="1" t="n">
        <v>46317</v>
      </c>
      <c r="F58" t="inlineStr">
        <is>
          <t>VÄSTRA GÖTALANDS LÄN</t>
        </is>
      </c>
      <c r="G58" t="inlineStr">
        <is>
          <t>HÄRRYDA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45811</v>
      </c>
      <c r="E59" s="1" t="n">
        <v>46317</v>
      </c>
      <c r="F59" t="inlineStr">
        <is>
          <t>VÄSTRA GÖTALANDS LÄN</t>
        </is>
      </c>
      <c r="G59" t="inlineStr">
        <is>
          <t>HÄRRYDA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27513-2025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46317</v>
      </c>
      <c r="F60" t="inlineStr">
        <is>
          <t>VÄSTRA GÖTALANDS LÄN</t>
        </is>
      </c>
      <c r="G60" t="inlineStr">
        <is>
          <t>HÄRRYDA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46317</v>
      </c>
      <c r="F61" t="inlineStr">
        <is>
          <t>VÄSTRA GÖTALANDS LÄN</t>
        </is>
      </c>
      <c r="G61" t="inlineStr">
        <is>
          <t>HÄRRYDA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45625</v>
      </c>
      <c r="E62" s="1" t="n">
        <v>46317</v>
      </c>
      <c r="F62" t="inlineStr">
        <is>
          <t>VÄSTRA GÖTALANDS LÄN</t>
        </is>
      </c>
      <c r="G62" t="inlineStr">
        <is>
          <t>HÄRRYDA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45925</v>
      </c>
      <c r="E63" s="1" t="n">
        <v>46317</v>
      </c>
      <c r="F63" t="inlineStr">
        <is>
          <t>VÄSTRA GÖTALANDS LÄN</t>
        </is>
      </c>
      <c r="G63" t="inlineStr">
        <is>
          <t>HÄRRYDA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46317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46317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46317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46317</v>
      </c>
      <c r="F67" t="inlineStr">
        <is>
          <t>VÄSTRA GÖTALANDS LÄN</t>
        </is>
      </c>
      <c r="G67" t="inlineStr">
        <is>
          <t>HÄRRYDA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46317</v>
      </c>
      <c r="F68" t="inlineStr">
        <is>
          <t>VÄSTRA GÖTALANDS LÄN</t>
        </is>
      </c>
      <c r="G68" t="inlineStr">
        <is>
          <t>HÄRRYDA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46317</v>
      </c>
      <c r="F69" t="inlineStr">
        <is>
          <t>VÄSTRA GÖTALANDS LÄN</t>
        </is>
      </c>
      <c r="G69" t="inlineStr">
        <is>
          <t>HÄRRYDA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46317</v>
      </c>
      <c r="F70" t="inlineStr">
        <is>
          <t>VÄSTRA GÖTALANDS LÄN</t>
        </is>
      </c>
      <c r="G70" t="inlineStr">
        <is>
          <t>HÄRRYDA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40053-2023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46317</v>
      </c>
      <c r="F71" t="inlineStr">
        <is>
          <t>VÄSTRA GÖTALANDS LÄN</t>
        </is>
      </c>
      <c r="G71" t="inlineStr">
        <is>
          <t>HÄRRYDA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46317</v>
      </c>
      <c r="F72" t="inlineStr">
        <is>
          <t>VÄSTRA GÖTALANDS LÄN</t>
        </is>
      </c>
      <c r="G72" t="inlineStr">
        <is>
          <t>HÄRRYDA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46317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46317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46317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46317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47334-2024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46317</v>
      </c>
      <c r="F77" t="inlineStr">
        <is>
          <t>VÄSTRA GÖTALANDS LÄN</t>
        </is>
      </c>
      <c r="G77" t="inlineStr">
        <is>
          <t>HÄRRYDA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46317</v>
      </c>
      <c r="F78" t="inlineStr">
        <is>
          <t>VÄSTRA GÖTALANDS LÄN</t>
        </is>
      </c>
      <c r="G78" t="inlineStr">
        <is>
          <t>HÄRRYDA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46317</v>
      </c>
      <c r="F79" t="inlineStr">
        <is>
          <t>VÄSTRA GÖTALANDS LÄN</t>
        </is>
      </c>
      <c r="G79" t="inlineStr">
        <is>
          <t>HÄRRYDA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45705</v>
      </c>
      <c r="E80" s="1" t="n">
        <v>46317</v>
      </c>
      <c r="F80" t="inlineStr">
        <is>
          <t>VÄSTRA GÖTALANDS LÄN</t>
        </is>
      </c>
      <c r="G80" t="inlineStr">
        <is>
          <t>HÄRRYDA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46317</v>
      </c>
      <c r="F81" t="inlineStr">
        <is>
          <t>VÄSTRA GÖTALANDS LÄN</t>
        </is>
      </c>
      <c r="G81" t="inlineStr">
        <is>
          <t>HÄRRYDA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15698-2026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46107</v>
      </c>
      <c r="E82" s="1" t="n">
        <v>46317</v>
      </c>
      <c r="F82" t="inlineStr">
        <is>
          <t>VÄSTRA GÖTALANDS LÄN</t>
        </is>
      </c>
      <c r="G82" t="inlineStr">
        <is>
          <t>HÄRRYDA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46317</v>
      </c>
      <c r="F83" t="inlineStr">
        <is>
          <t>VÄSTRA GÖTALANDS LÄN</t>
        </is>
      </c>
      <c r="G83" t="inlineStr">
        <is>
          <t>HÄRRYDA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46317</v>
      </c>
      <c r="F84" t="inlineStr">
        <is>
          <t>VÄSTRA GÖTALANDS LÄN</t>
        </is>
      </c>
      <c r="G84" t="inlineStr">
        <is>
          <t>HÄRRYDA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15401-2026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46106</v>
      </c>
      <c r="E85" s="1" t="n">
        <v>46317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46317</v>
      </c>
      <c r="F86" t="inlineStr">
        <is>
          <t>VÄSTRA GÖTALANDS LÄN</t>
        </is>
      </c>
      <c r="G86" t="inlineStr">
        <is>
          <t>HÄRRYDA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46317</v>
      </c>
      <c r="F87" t="inlineStr">
        <is>
          <t>VÄSTRA GÖTALANDS LÄN</t>
        </is>
      </c>
      <c r="G87" t="inlineStr">
        <is>
          <t>HÄRRYDA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46317</v>
      </c>
      <c r="F88" t="inlineStr">
        <is>
          <t>VÄSTRA GÖTALANDS LÄN</t>
        </is>
      </c>
      <c r="G88" t="inlineStr">
        <is>
          <t>HÄRRYDA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46317</v>
      </c>
      <c r="F89" t="inlineStr">
        <is>
          <t>VÄSTRA GÖTALANDS LÄN</t>
        </is>
      </c>
      <c r="G89" t="inlineStr">
        <is>
          <t>HÄRRYDA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46317</v>
      </c>
      <c r="F90" t="inlineStr">
        <is>
          <t>VÄSTRA GÖTALANDS LÄN</t>
        </is>
      </c>
      <c r="G90" t="inlineStr">
        <is>
          <t>HÄRRYDA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46317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46317</v>
      </c>
      <c r="F92" t="inlineStr">
        <is>
          <t>VÄSTRA GÖTALANDS LÄN</t>
        </is>
      </c>
      <c r="G92" t="inlineStr">
        <is>
          <t>HÄRRYDA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72891-2021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46317</v>
      </c>
      <c r="F93" t="inlineStr">
        <is>
          <t>VÄSTRA GÖTALANDS LÄN</t>
        </is>
      </c>
      <c r="G93" t="inlineStr">
        <is>
          <t>HÄRRYDA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46317</v>
      </c>
      <c r="F94" t="inlineStr">
        <is>
          <t>VÄSTRA GÖTALANDS LÄN</t>
        </is>
      </c>
      <c r="G94" t="inlineStr">
        <is>
          <t>HÄRRYDA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46317</v>
      </c>
      <c r="F95" t="inlineStr">
        <is>
          <t>VÄSTRA GÖTALANDS LÄN</t>
        </is>
      </c>
      <c r="G95" t="inlineStr">
        <is>
          <t>HÄRRYDA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46317</v>
      </c>
      <c r="F96" t="inlineStr">
        <is>
          <t>VÄSTRA GÖTALANDS LÄN</t>
        </is>
      </c>
      <c r="G96" t="inlineStr">
        <is>
          <t>HÄRRYDA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46317</v>
      </c>
      <c r="F97" t="inlineStr">
        <is>
          <t>VÄSTRA GÖTALANDS LÄN</t>
        </is>
      </c>
      <c r="G97" t="inlineStr">
        <is>
          <t>HÄRRYDA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46317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46317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46317</v>
      </c>
      <c r="F100" t="inlineStr">
        <is>
          <t>VÄSTRA GÖTALANDS LÄN</t>
        </is>
      </c>
      <c r="G100" t="inlineStr">
        <is>
          <t>HÄRRYDA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46317</v>
      </c>
      <c r="F101" t="inlineStr">
        <is>
          <t>VÄSTRA GÖTALANDS LÄN</t>
        </is>
      </c>
      <c r="G101" t="inlineStr">
        <is>
          <t>HÄRRYDA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65080-2023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45287</v>
      </c>
      <c r="E102" s="1" t="n">
        <v>46317</v>
      </c>
      <c r="F102" t="inlineStr">
        <is>
          <t>VÄSTRA GÖTALANDS LÄN</t>
        </is>
      </c>
      <c r="G102" t="inlineStr">
        <is>
          <t>HÄRRYDA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46317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46317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46317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46317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46317</v>
      </c>
      <c r="F107" t="inlineStr">
        <is>
          <t>VÄSTRA GÖTALANDS LÄN</t>
        </is>
      </c>
      <c r="G107" t="inlineStr">
        <is>
          <t>HÄRRYDA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45651</v>
      </c>
      <c r="E108" s="1" t="n">
        <v>46317</v>
      </c>
      <c r="F108" t="inlineStr">
        <is>
          <t>VÄSTRA GÖTALANDS LÄN</t>
        </is>
      </c>
      <c r="G108" t="inlineStr">
        <is>
          <t>HÄRRYDA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46317</v>
      </c>
      <c r="F109" t="inlineStr">
        <is>
          <t>VÄSTRA GÖTALANDS LÄN</t>
        </is>
      </c>
      <c r="G109" t="inlineStr">
        <is>
          <t>HÄRRYDA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44732</v>
      </c>
      <c r="E110" s="1" t="n">
        <v>46317</v>
      </c>
      <c r="F110" t="inlineStr">
        <is>
          <t>VÄSTRA GÖTALANDS LÄN</t>
        </is>
      </c>
      <c r="G110" t="inlineStr">
        <is>
          <t>HÄRRYDA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46317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46317</v>
      </c>
      <c r="F112" t="inlineStr">
        <is>
          <t>VÄSTRA GÖTALANDS LÄN</t>
        </is>
      </c>
      <c r="G112" t="inlineStr">
        <is>
          <t>HÄRRYDA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46317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31631-2026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46225</v>
      </c>
      <c r="E114" s="1" t="n">
        <v>46317</v>
      </c>
      <c r="F114" t="inlineStr">
        <is>
          <t>VÄSTRA GÖTALANDS LÄN</t>
        </is>
      </c>
      <c r="G114" t="inlineStr">
        <is>
          <t>HÄRRYDA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46317</v>
      </c>
      <c r="F115" t="inlineStr">
        <is>
          <t>VÄSTRA GÖTALANDS LÄN</t>
        </is>
      </c>
      <c r="G115" t="inlineStr">
        <is>
          <t>HÄRRYDA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45336</v>
      </c>
      <c r="E116" s="1" t="n">
        <v>46317</v>
      </c>
      <c r="F116" t="inlineStr">
        <is>
          <t>VÄSTRA GÖTALANDS LÄN</t>
        </is>
      </c>
      <c r="G116" t="inlineStr">
        <is>
          <t>HÄRRYDA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46317</v>
      </c>
      <c r="F117" t="inlineStr">
        <is>
          <t>VÄSTRA GÖTALANDS LÄN</t>
        </is>
      </c>
      <c r="G117" t="inlineStr">
        <is>
          <t>HÄRRYDA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46317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46238</v>
      </c>
      <c r="E119" s="1" t="n">
        <v>46317</v>
      </c>
      <c r="F119" t="inlineStr">
        <is>
          <t>VÄSTRA GÖTALANDS LÄN</t>
        </is>
      </c>
      <c r="G119" t="inlineStr">
        <is>
          <t>HÄRRYDA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46238</v>
      </c>
      <c r="E120" s="1" t="n">
        <v>46317</v>
      </c>
      <c r="F120" t="inlineStr">
        <is>
          <t>VÄSTRA GÖTALANDS LÄN</t>
        </is>
      </c>
      <c r="G120" t="inlineStr">
        <is>
          <t>HÄRRYDA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46317</v>
      </c>
      <c r="F121" t="inlineStr">
        <is>
          <t>VÄSTRA GÖTALANDS LÄN</t>
        </is>
      </c>
      <c r="G121" t="inlineStr">
        <is>
          <t>HÄRRYDA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46317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46317</v>
      </c>
      <c r="F123" t="inlineStr">
        <is>
          <t>VÄSTRA GÖTALANDS LÄN</t>
        </is>
      </c>
      <c r="G123" t="inlineStr">
        <is>
          <t>HÄRRYDA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46317</v>
      </c>
      <c r="F124" t="inlineStr">
        <is>
          <t>VÄSTRA GÖTALANDS LÄN</t>
        </is>
      </c>
      <c r="G124" t="inlineStr">
        <is>
          <t>HÄRRYDA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46317</v>
      </c>
      <c r="F125" t="inlineStr">
        <is>
          <t>VÄSTRA GÖTALANDS LÄN</t>
        </is>
      </c>
      <c r="G125" t="inlineStr">
        <is>
          <t>HÄRRYDA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46317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46317</v>
      </c>
      <c r="F127" t="inlineStr">
        <is>
          <t>VÄSTRA GÖTALANDS LÄN</t>
        </is>
      </c>
      <c r="G127" t="inlineStr">
        <is>
          <t>HÄRRYDA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46317</v>
      </c>
      <c r="F128" t="inlineStr">
        <is>
          <t>VÄSTRA GÖTALANDS LÄN</t>
        </is>
      </c>
      <c r="G128" t="inlineStr">
        <is>
          <t>HÄRRYDA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45336</v>
      </c>
      <c r="E129" s="1" t="n">
        <v>46317</v>
      </c>
      <c r="F129" t="inlineStr">
        <is>
          <t>VÄSTRA GÖTALANDS LÄN</t>
        </is>
      </c>
      <c r="G129" t="inlineStr">
        <is>
          <t>HÄRRYDA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55071-2023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45237</v>
      </c>
      <c r="E130" s="1" t="n">
        <v>46317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46317</v>
      </c>
      <c r="F131" t="inlineStr">
        <is>
          <t>VÄSTRA GÖTALANDS LÄN</t>
        </is>
      </c>
      <c r="G131" t="inlineStr">
        <is>
          <t>HÄRRYDA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45224</v>
      </c>
      <c r="E132" s="1" t="n">
        <v>46317</v>
      </c>
      <c r="F132" t="inlineStr">
        <is>
          <t>VÄSTRA GÖTALANDS LÄN</t>
        </is>
      </c>
      <c r="G132" t="inlineStr">
        <is>
          <t>HÄRRYDA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46296</v>
      </c>
      <c r="E133" s="1" t="n">
        <v>46317</v>
      </c>
      <c r="F133" t="inlineStr">
        <is>
          <t>VÄSTRA GÖTALANDS LÄN</t>
        </is>
      </c>
      <c r="G133" t="inlineStr">
        <is>
          <t>HÄRRYDA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46295</v>
      </c>
      <c r="E134" s="1" t="n">
        <v>46317</v>
      </c>
      <c r="F134" t="inlineStr">
        <is>
          <t>VÄSTRA GÖTALANDS LÄN</t>
        </is>
      </c>
      <c r="G134" t="inlineStr">
        <is>
          <t>HÄRRYDA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46317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46302</v>
      </c>
      <c r="E136" s="1" t="n">
        <v>46317</v>
      </c>
      <c r="F136" t="inlineStr">
        <is>
          <t>VÄSTRA GÖTALANDS LÄN</t>
        </is>
      </c>
      <c r="G136" t="inlineStr">
        <is>
          <t>HÄRRYDA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41688-2026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46317</v>
      </c>
      <c r="F137" t="inlineStr">
        <is>
          <t>VÄSTRA GÖTALANDS LÄN</t>
        </is>
      </c>
      <c r="G137" t="inlineStr">
        <is>
          <t>HÄRRYDA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46317</v>
      </c>
      <c r="F138" t="inlineStr">
        <is>
          <t>VÄSTRA GÖTALANDS LÄN</t>
        </is>
      </c>
      <c r="G138" t="inlineStr">
        <is>
          <t>HÄRRYDA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46317</v>
      </c>
      <c r="F139" t="inlineStr">
        <is>
          <t>VÄSTRA GÖTALANDS LÄN</t>
        </is>
      </c>
      <c r="G139" t="inlineStr">
        <is>
          <t>HÄRRYDA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46306</v>
      </c>
      <c r="E140" s="1" t="n">
        <v>46317</v>
      </c>
      <c r="F140" t="inlineStr">
        <is>
          <t>VÄSTRA GÖTALANDS LÄN</t>
        </is>
      </c>
      <c r="G140" t="inlineStr">
        <is>
          <t>HÄRRYDA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46308</v>
      </c>
      <c r="E141" s="1" t="n">
        <v>46317</v>
      </c>
      <c r="F141" t="inlineStr">
        <is>
          <t>VÄSTRA GÖTALANDS LÄN</t>
        </is>
      </c>
      <c r="G141" t="inlineStr">
        <is>
          <t>HÄRRYDA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46309</v>
      </c>
      <c r="E142" s="1" t="n">
        <v>46317</v>
      </c>
      <c r="F142" t="inlineStr">
        <is>
          <t>VÄSTRA GÖTALANDS LÄN</t>
        </is>
      </c>
      <c r="G142" t="inlineStr">
        <is>
          <t>HÄRRYDA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46309</v>
      </c>
      <c r="E143" s="1" t="n">
        <v>46317</v>
      </c>
      <c r="F143" t="inlineStr">
        <is>
          <t>VÄSTRA GÖTALANDS LÄN</t>
        </is>
      </c>
      <c r="G143" t="inlineStr">
        <is>
          <t>HÄRRYDA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36502-2026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46269</v>
      </c>
      <c r="E144" s="1" t="n">
        <v>46317</v>
      </c>
      <c r="F144" t="inlineStr">
        <is>
          <t>VÄSTRA GÖTALANDS LÄN</t>
        </is>
      </c>
      <c r="G144" t="inlineStr">
        <is>
          <t>HÄRRYDA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43792-2026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46316</v>
      </c>
      <c r="E145" s="1" t="n">
        <v>46317</v>
      </c>
      <c r="F145" t="inlineStr">
        <is>
          <t>VÄSTRA GÖTALANDS LÄN</t>
        </is>
      </c>
      <c r="G145" t="inlineStr">
        <is>
          <t>HÄRRYDA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2026-10-22T01:55:06Z</dcterms:created>
  <dcterms:modified xmlns:dcterms="http://purl.org/dc/terms/" xmlns:xsi="http://www.w3.org/2001/XMLSchema-instance" xsi:type="dcterms:W3CDTF">2026-10-22T01:55:06Z</dcterms:modified>
</cp:coreProperties>
</file>