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45345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45345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45345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45345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  <c r="Z5">
        <f>HYPERLINK("https://klasma.github.io/Logging_1401/fåglar/A 59467-2020 prioriterade fågelarter.docx",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45345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45345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  <c r="Z7">
        <f>HYPERLINK("https://klasma.github.io/Logging_1401/fåglar/A 42060-2018 prioriterade fågelarter.docx",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45345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HYPERLINK("https://klasma.github.io/Logging_1401/klagomål/A 52875-2019 FSC-klagomål.docx", "A 52875-2019")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  <c r="Z8">
        <f>HYPERLINK("https://klasma.github.io/Logging_1401/fåglar/A 52875-2019 prioriterade fågelarter.docx",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45345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45345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45345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45345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45345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45345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45345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45345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  <c r="Z16">
        <f>HYPERLINK("https://klasma.github.io/Logging_1401/fåglar/A 16802-2023 prioriterade fågelarter.docx",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45345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45345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45345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45345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55708-2023</t>
        </is>
      </c>
      <c r="B21" s="1" t="n">
        <v>45239</v>
      </c>
      <c r="C21" s="1" t="n">
        <v>45345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55708-2023 artfynd.xlsx", "A 55708-2023")</f>
        <v/>
      </c>
      <c r="T21">
        <f>HYPERLINK("https://klasma.github.io/Logging_1401/kartor/A 55708-2023 karta.png", "A 55708-2023")</f>
        <v/>
      </c>
      <c r="V21">
        <f>HYPERLINK("https://klasma.github.io/Logging_1401/klagomål/A 55708-2023 FSC-klagomål.docx", "A 55708-2023")</f>
        <v/>
      </c>
      <c r="W21">
        <f>HYPERLINK("https://klasma.github.io/Logging_1401/klagomålsmail/A 55708-2023 FSC-klagomål mail.docx", "A 55708-2023")</f>
        <v/>
      </c>
      <c r="X21">
        <f>HYPERLINK("https://klasma.github.io/Logging_1401/tillsyn/A 55708-2023 tillsynsbegäran.docx", "A 55708-2023")</f>
        <v/>
      </c>
      <c r="Y21">
        <f>HYPERLINK("https://klasma.github.io/Logging_1401/tillsynsmail/A 55708-2023 tillsynsbegäran mail.docx", "A 55708-2023")</f>
        <v/>
      </c>
      <c r="Z21">
        <f>HYPERLINK("https://klasma.github.io/Logging_1401/fåglar/A 55708-2023 prioriterade fågelarter.docx", "A 55708-2023")</f>
        <v/>
      </c>
    </row>
    <row r="22" ht="15" customHeight="1">
      <c r="A22" t="inlineStr">
        <is>
          <t>A 34019-2018</t>
        </is>
      </c>
      <c r="B22" s="1" t="n">
        <v>43315</v>
      </c>
      <c r="C22" s="1" t="n">
        <v>45345</v>
      </c>
      <c r="D22" t="inlineStr">
        <is>
          <t>VÄSTRA GÖTALANDS LÄN</t>
        </is>
      </c>
      <c r="E22" t="inlineStr">
        <is>
          <t>HÄRRYDA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35566-2018</t>
        </is>
      </c>
      <c r="B23" s="1" t="n">
        <v>43326</v>
      </c>
      <c r="C23" s="1" t="n">
        <v>45345</v>
      </c>
      <c r="D23" t="inlineStr">
        <is>
          <t>VÄSTRA GÖTALANDS LÄN</t>
        </is>
      </c>
      <c r="E23" t="inlineStr">
        <is>
          <t>HÄRRYDA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61726-2018</t>
        </is>
      </c>
      <c r="B24" s="1" t="n">
        <v>43383</v>
      </c>
      <c r="C24" s="1" t="n">
        <v>45345</v>
      </c>
      <c r="D24" t="inlineStr">
        <is>
          <t>VÄSTRA GÖTALANDS LÄN</t>
        </is>
      </c>
      <c r="E24" t="inlineStr">
        <is>
          <t>HÄRRYDA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56544-2018</t>
        </is>
      </c>
      <c r="B25" s="1" t="n">
        <v>43402</v>
      </c>
      <c r="C25" s="1" t="n">
        <v>45345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57836-2018</t>
        </is>
      </c>
      <c r="B26" s="1" t="n">
        <v>43405</v>
      </c>
      <c r="C26" s="1" t="n">
        <v>45345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57834-2018</t>
        </is>
      </c>
      <c r="B27" s="1" t="n">
        <v>43405</v>
      </c>
      <c r="C27" s="1" t="n">
        <v>45345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61396-2018</t>
        </is>
      </c>
      <c r="B28" s="1" t="n">
        <v>43424</v>
      </c>
      <c r="C28" s="1" t="n">
        <v>45345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68069-2018</t>
        </is>
      </c>
      <c r="B29" s="1" t="n">
        <v>43441</v>
      </c>
      <c r="C29" s="1" t="n">
        <v>45345</v>
      </c>
      <c r="D29" t="inlineStr">
        <is>
          <t>VÄSTRA GÖTALANDS LÄN</t>
        </is>
      </c>
      <c r="E29" t="inlineStr">
        <is>
          <t>HÄRRYDA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68077-2018</t>
        </is>
      </c>
      <c r="B30" s="1" t="n">
        <v>43441</v>
      </c>
      <c r="C30" s="1" t="n">
        <v>45345</v>
      </c>
      <c r="D30" t="inlineStr">
        <is>
          <t>VÄSTRA GÖTALANDS LÄN</t>
        </is>
      </c>
      <c r="E30" t="inlineStr">
        <is>
          <t>HÄRRYDA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68709-2018</t>
        </is>
      </c>
      <c r="B31" s="1" t="n">
        <v>43444</v>
      </c>
      <c r="C31" s="1" t="n">
        <v>45345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72210-2018</t>
        </is>
      </c>
      <c r="B32" s="1" t="n">
        <v>43455</v>
      </c>
      <c r="C32" s="1" t="n">
        <v>45345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72211-2018</t>
        </is>
      </c>
      <c r="B33" s="1" t="n">
        <v>43455</v>
      </c>
      <c r="C33" s="1" t="n">
        <v>45345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4516-2019</t>
        </is>
      </c>
      <c r="B34" s="1" t="n">
        <v>43486</v>
      </c>
      <c r="C34" s="1" t="n">
        <v>45345</v>
      </c>
      <c r="D34" t="inlineStr">
        <is>
          <t>VÄSTRA GÖTALANDS LÄN</t>
        </is>
      </c>
      <c r="E34" t="inlineStr">
        <is>
          <t>HÄRRYDA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4526-2019</t>
        </is>
      </c>
      <c r="B35" s="1" t="n">
        <v>43486</v>
      </c>
      <c r="C35" s="1" t="n">
        <v>45345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4960-2019</t>
        </is>
      </c>
      <c r="B36" s="1" t="n">
        <v>43487</v>
      </c>
      <c r="C36" s="1" t="n">
        <v>45345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6199-2019</t>
        </is>
      </c>
      <c r="B37" s="1" t="n">
        <v>43493</v>
      </c>
      <c r="C37" s="1" t="n">
        <v>45345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6151-2019</t>
        </is>
      </c>
      <c r="B38" s="1" t="n">
        <v>43493</v>
      </c>
      <c r="C38" s="1" t="n">
        <v>45345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6115-2019</t>
        </is>
      </c>
      <c r="B39" s="1" t="n">
        <v>43493</v>
      </c>
      <c r="C39" s="1" t="n">
        <v>45345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7267-2019</t>
        </is>
      </c>
      <c r="B40" s="1" t="n">
        <v>43496</v>
      </c>
      <c r="C40" s="1" t="n">
        <v>45345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7253-2019</t>
        </is>
      </c>
      <c r="B41" s="1" t="n">
        <v>43496</v>
      </c>
      <c r="C41" s="1" t="n">
        <v>45345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16082-2019</t>
        </is>
      </c>
      <c r="B42" s="1" t="n">
        <v>43544</v>
      </c>
      <c r="C42" s="1" t="n">
        <v>45345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16065-2019</t>
        </is>
      </c>
      <c r="B43" s="1" t="n">
        <v>43544</v>
      </c>
      <c r="C43" s="1" t="n">
        <v>45345</v>
      </c>
      <c r="D43" t="inlineStr">
        <is>
          <t>VÄSTRA GÖTALANDS LÄN</t>
        </is>
      </c>
      <c r="E43" t="inlineStr">
        <is>
          <t>HÄRRYDA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18489-2019</t>
        </is>
      </c>
      <c r="B44" s="1" t="n">
        <v>43559</v>
      </c>
      <c r="C44" s="1" t="n">
        <v>45345</v>
      </c>
      <c r="D44" t="inlineStr">
        <is>
          <t>VÄSTRA GÖTALANDS LÄN</t>
        </is>
      </c>
      <c r="E44" t="inlineStr">
        <is>
          <t>HÄRRYDA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19200-2019</t>
        </is>
      </c>
      <c r="B45" s="1" t="n">
        <v>43564</v>
      </c>
      <c r="C45" s="1" t="n">
        <v>45345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19688-2019</t>
        </is>
      </c>
      <c r="B46" s="1" t="n">
        <v>43566</v>
      </c>
      <c r="C46" s="1" t="n">
        <v>45345</v>
      </c>
      <c r="D46" t="inlineStr">
        <is>
          <t>VÄSTRA GÖTALANDS LÄN</t>
        </is>
      </c>
      <c r="E46" t="inlineStr">
        <is>
          <t>HÄRRYDA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19826-2019</t>
        </is>
      </c>
      <c r="B47" s="1" t="n">
        <v>43567</v>
      </c>
      <c r="C47" s="1" t="n">
        <v>45345</v>
      </c>
      <c r="D47" t="inlineStr">
        <is>
          <t>VÄSTRA GÖTALANDS LÄN</t>
        </is>
      </c>
      <c r="E47" t="inlineStr">
        <is>
          <t>HÄRRYDA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20315-2019</t>
        </is>
      </c>
      <c r="B48" s="1" t="n">
        <v>43570</v>
      </c>
      <c r="C48" s="1" t="n">
        <v>45345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22530-2019</t>
        </is>
      </c>
      <c r="B49" s="1" t="n">
        <v>43587</v>
      </c>
      <c r="C49" s="1" t="n">
        <v>45345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22860-2019</t>
        </is>
      </c>
      <c r="B50" s="1" t="n">
        <v>43591</v>
      </c>
      <c r="C50" s="1" t="n">
        <v>45345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23408-2019</t>
        </is>
      </c>
      <c r="B51" s="1" t="n">
        <v>43593</v>
      </c>
      <c r="C51" s="1" t="n">
        <v>45345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23578-2019</t>
        </is>
      </c>
      <c r="B52" s="1" t="n">
        <v>43594</v>
      </c>
      <c r="C52" s="1" t="n">
        <v>45345</v>
      </c>
      <c r="D52" t="inlineStr">
        <is>
          <t>VÄSTRA GÖTALANDS LÄN</t>
        </is>
      </c>
      <c r="E52" t="inlineStr">
        <is>
          <t>HÄRRYDA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25345-2019</t>
        </is>
      </c>
      <c r="B53" s="1" t="n">
        <v>43606</v>
      </c>
      <c r="C53" s="1" t="n">
        <v>45345</v>
      </c>
      <c r="D53" t="inlineStr">
        <is>
          <t>VÄSTRA GÖTALANDS LÄN</t>
        </is>
      </c>
      <c r="E53" t="inlineStr">
        <is>
          <t>HÄRRYDA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45345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45345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45345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45345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45345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45345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45345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45345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45345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45345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45345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45345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45345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45345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45345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45345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45345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45345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45345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45345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45345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45345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45345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45345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45345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45345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45345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45345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45345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45345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45345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45345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45345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45345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45345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45345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45345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45345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45345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45345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45345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45345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45345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45345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45345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45345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45345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45345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45345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45345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45345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45345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45345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45345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45345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45345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45345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45345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45345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45345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45345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45345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45345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45345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45345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45345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45345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45345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45345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45345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45345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45345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45345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45345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45345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45345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45345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45345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45345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45345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45345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45345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45345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45345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45345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45345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45345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45345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45345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45345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45345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45345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45345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45345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45345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45345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45345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45345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45345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45345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45345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45345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45345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45345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45345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45345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45345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45345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45345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45345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45345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45345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45345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45345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45345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45345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45345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45345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45345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45345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45345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45345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45345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45345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45345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45345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45345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45345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45345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45345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45345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45345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45345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45345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45345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45345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45345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45345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45345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45345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45345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45345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45345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45345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45345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45345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45345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45345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45345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45345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45345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45345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45345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45345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45345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45345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45345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45345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45345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45345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45345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45345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45345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45345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45345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45345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45345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45345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45345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45345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45345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2946-2024</t>
        </is>
      </c>
      <c r="B225" s="1" t="n">
        <v>45315</v>
      </c>
      <c r="C225" s="1" t="n">
        <v>45345</v>
      </c>
      <c r="D225" t="inlineStr">
        <is>
          <t>VÄSTRA GÖTALANDS LÄN</t>
        </is>
      </c>
      <c r="E225" t="inlineStr">
        <is>
          <t>HÄRRYDA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2939-2024</t>
        </is>
      </c>
      <c r="B226" s="1" t="n">
        <v>45315</v>
      </c>
      <c r="C226" s="1" t="n">
        <v>45345</v>
      </c>
      <c r="D226" t="inlineStr">
        <is>
          <t>VÄSTRA GÖTALANDS LÄN</t>
        </is>
      </c>
      <c r="E226" t="inlineStr">
        <is>
          <t>HÄRRYDA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45345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45345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45345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5986-2024</t>
        </is>
      </c>
      <c r="B230" s="1" t="n">
        <v>45336</v>
      </c>
      <c r="C230" s="1" t="n">
        <v>45345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5985-2024</t>
        </is>
      </c>
      <c r="B231" s="1" t="n">
        <v>45336</v>
      </c>
      <c r="C231" s="1" t="n">
        <v>45345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6166-2024</t>
        </is>
      </c>
      <c r="B232" s="1" t="n">
        <v>45337</v>
      </c>
      <c r="C232" s="1" t="n">
        <v>45345</v>
      </c>
      <c r="D232" t="inlineStr">
        <is>
          <t>VÄSTRA GÖTALANDS LÄN</t>
        </is>
      </c>
      <c r="E232" t="inlineStr">
        <is>
          <t>HÄRRYDA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6168-2024</t>
        </is>
      </c>
      <c r="B233" s="1" t="n">
        <v>45337</v>
      </c>
      <c r="C233" s="1" t="n">
        <v>45345</v>
      </c>
      <c r="D233" t="inlineStr">
        <is>
          <t>VÄSTRA GÖTALANDS LÄN</t>
        </is>
      </c>
      <c r="E233" t="inlineStr">
        <is>
          <t>HÄRRYDA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2024-02-23T06:55:30Z</dcterms:created>
  <dcterms:modified xmlns:dcterms="http://purl.org/dc/terms/" xmlns:xsi="http://www.w3.org/2001/XMLSchema-instance" xsi:type="dcterms:W3CDTF">2024-02-23T06:55:31Z</dcterms:modified>
</cp:coreProperties>
</file>