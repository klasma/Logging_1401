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46309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46309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46309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S 2595-2026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46289</v>
      </c>
      <c r="E13" s="1" t="n">
        <v>46309</v>
      </c>
      <c r="F13" t="inlineStr">
        <is>
          <t>VÄSTRA GÖTALANDS LÄN</t>
        </is>
      </c>
      <c r="G13" t="inlineStr">
        <is>
          <t>HÄRRYDA</t>
        </is>
      </c>
      <c r="I13" t="n">
        <v>4.6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Nötkråka
Kungsfågel
Vanlig groda</t>
        </is>
      </c>
      <c r="W13">
        <f>HYPERLINK("https://klasma.github.io/Logging_1401/artfynd/S 2595-2026 artfynd.xlsx", "S 2595-2026")</f>
        <v/>
      </c>
      <c r="X13">
        <f>HYPERLINK("https://klasma.github.io/Logging_1401/kartor/S 2595-2026 karta.png", "S 2595-2026")</f>
        <v/>
      </c>
      <c r="Y13">
        <f>HYPERLINK("https://klasma.github.io/Logging_1401/kartor_geotiff/S 2595-2026 georefererad karta.tif", "S 2595-2026")</f>
        <v/>
      </c>
      <c r="AA13">
        <f>HYPERLINK("https://klasma.github.io/Logging_1401/klagomål/S 2595-2026 FSC-klagomål.docx", "S 2595-2026")</f>
        <v/>
      </c>
      <c r="AB13">
        <f>HYPERLINK("https://klasma.github.io/Logging_1401/klagomålsmail/S 2595-2026 FSC-klagomål mail.docx", "S 2595-2026")</f>
        <v/>
      </c>
      <c r="AC13">
        <f>HYPERLINK("https://klasma.github.io/Logging_1401/tillsyn/S 2595-2026 tillsynsbegäran.docx", "S 2595-2026")</f>
        <v/>
      </c>
      <c r="AD13">
        <f>HYPERLINK("https://klasma.github.io/Logging_1401/tillsynsmail/S 2595-2026 tillsynsbegäran mail.docx", "S 2595-2026")</f>
        <v/>
      </c>
      <c r="AE13">
        <f>HYPERLINK("https://klasma.github.io/Logging_1401/fåglar/S 2595-2026 prioriterade fågelarter.docx", "S 2595-2026")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46309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46309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63592-2021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46309</v>
      </c>
      <c r="F16" t="inlineStr">
        <is>
          <t>VÄSTRA GÖTALANDS LÄN</t>
        </is>
      </c>
      <c r="G16" t="inlineStr">
        <is>
          <t>HÄRRYDA</t>
        </is>
      </c>
      <c r="I16" t="n">
        <v>8.699999999999999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Vanlig padda</t>
        </is>
      </c>
      <c r="W16">
        <f>HYPERLINK("https://klasma.github.io/Logging_1401/artfynd/A 63592-2021 artfynd.xlsx", "A 63592-2021")</f>
        <v/>
      </c>
      <c r="X16">
        <f>HYPERLINK("https://klasma.github.io/Logging_1401/kartor/A 63592-2021 karta.png", "A 63592-2021")</f>
        <v/>
      </c>
      <c r="Y16">
        <f>HYPERLINK("https://klasma.github.io/Logging_1401/kartor_geotiff/A 63592-2021 georefererad karta.tif", "A 63592-2021")</f>
        <v/>
      </c>
      <c r="AA16">
        <f>HYPERLINK("https://klasma.github.io/Logging_1401/klagomål/A 63592-2021 FSC-klagomål.docx", "A 63592-2021")</f>
        <v/>
      </c>
      <c r="AB16">
        <f>HYPERLINK("https://klasma.github.io/Logging_1401/klagomålsmail/A 63592-2021 FSC-klagomål mail.docx", "A 63592-2021")</f>
        <v/>
      </c>
      <c r="AC16">
        <f>HYPERLINK("https://klasma.github.io/Logging_1401/tillsyn/A 63592-2021 tillsynsbegäran.docx", "A 63592-2021")</f>
        <v/>
      </c>
      <c r="AD16">
        <f>HYPERLINK("https://klasma.github.io/Logging_1401/tillsynsmail/A 63592-2021 tillsynsbegäran mail.docx", "A 63592-2021")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46309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A 34938-2022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44796</v>
      </c>
      <c r="E18" s="1" t="n">
        <v>46309</v>
      </c>
      <c r="F18" t="inlineStr">
        <is>
          <t>VÄSTRA GÖTALANDS LÄN</t>
        </is>
      </c>
      <c r="G18" t="inlineStr">
        <is>
          <t>HÄRRYDA</t>
        </is>
      </c>
      <c r="I18" t="n">
        <v>2.3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Igelkott
Revlummer</t>
        </is>
      </c>
      <c r="W18">
        <f>HYPERLINK("https://klasma.github.io/Logging_1401/artfynd/A 34938-2022 artfynd.xlsx", "A 34938-2022")</f>
        <v/>
      </c>
      <c r="X18">
        <f>HYPERLINK("https://klasma.github.io/Logging_1401/kartor/A 34938-2022 karta.png", "A 34938-2022")</f>
        <v/>
      </c>
      <c r="Y18">
        <f>HYPERLINK("https://klasma.github.io/Logging_1401/kartor_geotiff/A 34938-2022 georefererad karta.tif", "A 34938-2022")</f>
        <v/>
      </c>
      <c r="AA18">
        <f>HYPERLINK("https://klasma.github.io/Logging_1401/klagomål/A 34938-2022 FSC-klagomål.docx", "A 34938-2022")</f>
        <v/>
      </c>
      <c r="AB18">
        <f>HYPERLINK("https://klasma.github.io/Logging_1401/klagomålsmail/A 34938-2022 FSC-klagomål mail.docx", "A 34938-2022")</f>
        <v/>
      </c>
      <c r="AC18">
        <f>HYPERLINK("https://klasma.github.io/Logging_1401/tillsyn/A 34938-2022 tillsynsbegäran.docx", "A 34938-2022")</f>
        <v/>
      </c>
      <c r="AD18">
        <f>HYPERLINK("https://klasma.github.io/Logging_1401/tillsynsmail/A 34938-2022 tillsynsbegäran mail.docx", "A 34938-2022")</f>
        <v/>
      </c>
    </row>
    <row r="19" ht="15" customHeight="1">
      <c r="A19" t="inlineStr">
        <is>
          <t>A 42034-2026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46309</v>
      </c>
      <c r="F19" t="inlineStr">
        <is>
          <t>VÄSTRA GÖTALANDS LÄN</t>
        </is>
      </c>
      <c r="G19" t="inlineStr">
        <is>
          <t>HÄRRYDA</t>
        </is>
      </c>
      <c r="I19" t="n">
        <v>1.4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Grönpyrola
Kambräken</t>
        </is>
      </c>
      <c r="W19">
        <f>HYPERLINK("https://klasma.github.io/Logging_1401/artfynd/A 42034-2026 artfynd.xlsx", "A 42034-2026")</f>
        <v/>
      </c>
      <c r="X19">
        <f>HYPERLINK("https://klasma.github.io/Logging_1401/kartor/A 42034-2026 karta.png", "A 42034-2026")</f>
        <v/>
      </c>
      <c r="Y19">
        <f>HYPERLINK("https://klasma.github.io/Logging_1401/kartor_geotiff/A 42034-2026 georefererad karta.tif", "A 42034-2026")</f>
        <v/>
      </c>
      <c r="AA19">
        <f>HYPERLINK("https://klasma.github.io/Logging_1401/klagomål/A 42034-2026 FSC-klagomål.docx", "A 42034-2026")</f>
        <v/>
      </c>
      <c r="AB19">
        <f>HYPERLINK("https://klasma.github.io/Logging_1401/klagomålsmail/A 42034-2026 FSC-klagomål mail.docx", "A 42034-2026")</f>
        <v/>
      </c>
      <c r="AC19">
        <f>HYPERLINK("https://klasma.github.io/Logging_1401/tillsyn/A 42034-2026 tillsynsbegäran.docx", "A 42034-2026")</f>
        <v/>
      </c>
      <c r="AD19">
        <f>HYPERLINK("https://klasma.github.io/Logging_1401/tillsynsmail/A 42034-2026 tillsynsbegäran mail.docx", "A 42034-2026")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46309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46309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46309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46309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46309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47362-2024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46309</v>
      </c>
      <c r="F25" t="inlineStr">
        <is>
          <t>VÄSTRA GÖTALANDS LÄN</t>
        </is>
      </c>
      <c r="G25" t="inlineStr">
        <is>
          <t>HÄRRYDA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47362-2024 artfynd.xlsx", "A 47362-2024")</f>
        <v/>
      </c>
      <c r="X25">
        <f>HYPERLINK("https://klasma.github.io/Logging_1401/kartor/A 47362-2024 karta.png", "A 47362-2024")</f>
        <v/>
      </c>
      <c r="Y25">
        <f>HYPERLINK("https://klasma.github.io/Logging_1401/kartor_geotiff/A 47362-2024 georefererad karta.tif", "A 47362-2024")</f>
        <v/>
      </c>
      <c r="AA25">
        <f>HYPERLINK("https://klasma.github.io/Logging_1401/klagomål/A 47362-2024 FSC-klagomål.docx", "A 47362-2024")</f>
        <v/>
      </c>
      <c r="AB25">
        <f>HYPERLINK("https://klasma.github.io/Logging_1401/klagomålsmail/A 47362-2024 FSC-klagomål mail.docx", "A 47362-2024")</f>
        <v/>
      </c>
      <c r="AC25">
        <f>HYPERLINK("https://klasma.github.io/Logging_1401/tillsyn/A 47362-2024 tillsynsbegäran.docx", "A 47362-2024")</f>
        <v/>
      </c>
      <c r="AD25">
        <f>HYPERLINK("https://klasma.github.io/Logging_1401/tillsynsmail/A 47362-2024 tillsynsbegäran mail.docx", "A 47362-2024")</f>
        <v/>
      </c>
    </row>
    <row r="26" ht="15" customHeight="1">
      <c r="A26" t="inlineStr">
        <is>
          <t>A 41457-2023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46309</v>
      </c>
      <c r="F26" t="inlineStr">
        <is>
          <t>VÄSTRA GÖTALANDS LÄN</t>
        </is>
      </c>
      <c r="G26" t="inlineStr">
        <is>
          <t>HÄRRYDA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Almkrämskinn</t>
        </is>
      </c>
      <c r="W26">
        <f>HYPERLINK("https://klasma.github.io/Logging_1401/artfynd/A 41457-2023 artfynd.xlsx", "A 41457-2023")</f>
        <v/>
      </c>
      <c r="X26">
        <f>HYPERLINK("https://klasma.github.io/Logging_1401/kartor/A 41457-2023 karta.png", "A 41457-2023")</f>
        <v/>
      </c>
      <c r="Y26">
        <f>HYPERLINK("https://klasma.github.io/Logging_1401/kartor_geotiff/A 41457-2023 georefererad karta.tif", "A 41457-2023")</f>
        <v/>
      </c>
      <c r="AA26">
        <f>HYPERLINK("https://klasma.github.io/Logging_1401/klagomål/A 41457-2023 FSC-klagomål.docx", "A 41457-2023")</f>
        <v/>
      </c>
      <c r="AB26">
        <f>HYPERLINK("https://klasma.github.io/Logging_1401/klagomålsmail/A 41457-2023 FSC-klagomål mail.docx", "A 41457-2023")</f>
        <v/>
      </c>
      <c r="AC26">
        <f>HYPERLINK("https://klasma.github.io/Logging_1401/tillsyn/A 41457-2023 tillsynsbegäran.docx", "A 41457-2023")</f>
        <v/>
      </c>
      <c r="AD26">
        <f>HYPERLINK("https://klasma.github.io/Logging_1401/tillsynsmail/A 41457-2023 tillsynsbegäran mail.docx", "A 41457-2023")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46309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19977-2022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44697</v>
      </c>
      <c r="E28" s="1" t="n">
        <v>46309</v>
      </c>
      <c r="F28" t="inlineStr">
        <is>
          <t>VÄSTRA GÖTALANDS LÄN</t>
        </is>
      </c>
      <c r="G28" t="inlineStr">
        <is>
          <t>HÄRRYDA</t>
        </is>
      </c>
      <c r="I28" t="n">
        <v>4.7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19977-2022 artfynd.xlsx", "A 19977-2022")</f>
        <v/>
      </c>
      <c r="X28">
        <f>HYPERLINK("https://klasma.github.io/Logging_1401/kartor/A 19977-2022 karta.png", "A 19977-2022")</f>
        <v/>
      </c>
      <c r="Y28">
        <f>HYPERLINK("https://klasma.github.io/Logging_1401/kartor_geotiff/A 19977-2022 georefererad karta.tif", "A 19977-2022")</f>
        <v/>
      </c>
      <c r="AA28">
        <f>HYPERLINK("https://klasma.github.io/Logging_1401/klagomål/A 19977-2022 FSC-klagomål.docx", "A 19977-2022")</f>
        <v/>
      </c>
      <c r="AB28">
        <f>HYPERLINK("https://klasma.github.io/Logging_1401/klagomålsmail/A 19977-2022 FSC-klagomål mail.docx", "A 19977-2022")</f>
        <v/>
      </c>
      <c r="AC28">
        <f>HYPERLINK("https://klasma.github.io/Logging_1401/tillsyn/A 19977-2022 tillsynsbegäran.docx", "A 19977-2022")</f>
        <v/>
      </c>
      <c r="AD28">
        <f>HYPERLINK("https://klasma.github.io/Logging_1401/tillsynsmail/A 19977-2022 tillsynsbegäran mail.docx", "A 19977-2022")</f>
        <v/>
      </c>
    </row>
    <row r="29" ht="15" customHeight="1">
      <c r="A29" t="inlineStr">
        <is>
          <t>A 21398-2023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45063</v>
      </c>
      <c r="E29" s="1" t="n">
        <v>46309</v>
      </c>
      <c r="F29" t="inlineStr">
        <is>
          <t>VÄSTRA GÖTALANDS LÄN</t>
        </is>
      </c>
      <c r="G29" t="inlineStr">
        <is>
          <t>HÄRRYDA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21398-2023 artfynd.xlsx", "A 21398-2023")</f>
        <v/>
      </c>
      <c r="X29">
        <f>HYPERLINK("https://klasma.github.io/Logging_1401/kartor/A 21398-2023 karta.png", "A 21398-2023")</f>
        <v/>
      </c>
      <c r="Y29">
        <f>HYPERLINK("https://klasma.github.io/Logging_1401/kartor_geotiff/A 21398-2023 georefererad karta.tif", "A 21398-2023")</f>
        <v/>
      </c>
      <c r="AA29">
        <f>HYPERLINK("https://klasma.github.io/Logging_1401/klagomål/A 21398-2023 FSC-klagomål.docx", "A 21398-2023")</f>
        <v/>
      </c>
      <c r="AB29">
        <f>HYPERLINK("https://klasma.github.io/Logging_1401/klagomålsmail/A 21398-2023 FSC-klagomål mail.docx", "A 21398-2023")</f>
        <v/>
      </c>
      <c r="AC29">
        <f>HYPERLINK("https://klasma.github.io/Logging_1401/tillsyn/A 21398-2023 tillsynsbegäran.docx", "A 21398-2023")</f>
        <v/>
      </c>
      <c r="AD29">
        <f>HYPERLINK("https://klasma.github.io/Logging_1401/tillsynsmail/A 21398-2023 tillsynsbegäran mail.docx", "A 21398-2023")</f>
        <v/>
      </c>
    </row>
    <row r="30" ht="15" customHeight="1">
      <c r="A30" t="inlineStr">
        <is>
          <t>A 58481-2022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46309</v>
      </c>
      <c r="F30" t="inlineStr">
        <is>
          <t>VÄSTRA GÖTALANDS LÄN</t>
        </is>
      </c>
      <c r="G30" t="inlineStr">
        <is>
          <t>HÄRRYDA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58481-2022 artfynd.xlsx", "A 58481-2022")</f>
        <v/>
      </c>
      <c r="X30">
        <f>HYPERLINK("https://klasma.github.io/Logging_1401/kartor/A 58481-2022 karta.png", "A 58481-2022")</f>
        <v/>
      </c>
      <c r="Y30">
        <f>HYPERLINK("https://klasma.github.io/Logging_1401/kartor_geotiff/A 58481-2022 georefererad karta.tif", "A 58481-2022")</f>
        <v/>
      </c>
      <c r="AA30">
        <f>HYPERLINK("https://klasma.github.io/Logging_1401/klagomål/A 58481-2022 FSC-klagomål.docx", "A 58481-2022")</f>
        <v/>
      </c>
      <c r="AB30">
        <f>HYPERLINK("https://klasma.github.io/Logging_1401/klagomålsmail/A 58481-2022 FSC-klagomål mail.docx", "A 58481-2022")</f>
        <v/>
      </c>
      <c r="AC30">
        <f>HYPERLINK("https://klasma.github.io/Logging_1401/tillsyn/A 58481-2022 tillsynsbegäran.docx", "A 58481-2022")</f>
        <v/>
      </c>
      <c r="AD30">
        <f>HYPERLINK("https://klasma.github.io/Logging_1401/tillsynsmail/A 58481-2022 tillsynsbegäran mail.docx", "A 58481-2022")</f>
        <v/>
      </c>
    </row>
    <row r="31" ht="15" customHeight="1">
      <c r="A31" t="inlineStr">
        <is>
          <t>A 40282-2026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46294</v>
      </c>
      <c r="E31" s="1" t="n">
        <v>46309</v>
      </c>
      <c r="F31" t="inlineStr">
        <is>
          <t>VÄSTRA GÖTALANDS LÄN</t>
        </is>
      </c>
      <c r="G31" t="inlineStr">
        <is>
          <t>HÄRRYDA</t>
        </is>
      </c>
      <c r="I31" t="n">
        <v>1.8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Rostfläck</t>
        </is>
      </c>
      <c r="W31">
        <f>HYPERLINK("https://klasma.github.io/Logging_1401/artfynd/A 40282-2026 artfynd.xlsx", "A 40282-2026")</f>
        <v/>
      </c>
      <c r="X31">
        <f>HYPERLINK("https://klasma.github.io/Logging_1401/kartor/A 40282-2026 karta.png", "A 40282-2026")</f>
        <v/>
      </c>
      <c r="Y31">
        <f>HYPERLINK("https://klasma.github.io/Logging_1401/kartor_geotiff/A 40282-2026 georefererad karta.tif", "A 40282-2026")</f>
        <v/>
      </c>
      <c r="AA31">
        <f>HYPERLINK("https://klasma.github.io/Logging_1401/klagomål/A 40282-2026 FSC-klagomål.docx", "A 40282-2026")</f>
        <v/>
      </c>
      <c r="AB31">
        <f>HYPERLINK("https://klasma.github.io/Logging_1401/klagomålsmail/A 40282-2026 FSC-klagomål mail.docx", "A 40282-2026")</f>
        <v/>
      </c>
      <c r="AC31">
        <f>HYPERLINK("https://klasma.github.io/Logging_1401/tillsyn/A 40282-2026 tillsynsbegäran.docx", "A 40282-2026")</f>
        <v/>
      </c>
      <c r="AD31">
        <f>HYPERLINK("https://klasma.github.io/Logging_1401/tillsynsmail/A 40282-2026 tillsynsbegäran mail.docx", "A 40282-2026")</f>
        <v/>
      </c>
    </row>
    <row r="32" ht="15" customHeight="1">
      <c r="A32" t="inlineStr">
        <is>
          <t>A 52164-2023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45224</v>
      </c>
      <c r="E32" s="1" t="n">
        <v>46309</v>
      </c>
      <c r="F32" t="inlineStr">
        <is>
          <t>VÄSTRA GÖTALANDS LÄN</t>
        </is>
      </c>
      <c r="G32" t="inlineStr">
        <is>
          <t>HÄRRYDA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Klippfrullania</t>
        </is>
      </c>
      <c r="W32">
        <f>HYPERLINK("https://klasma.github.io/Logging_1401/artfynd/A 52164-2023 artfynd.xlsx", "A 52164-2023")</f>
        <v/>
      </c>
      <c r="X32">
        <f>HYPERLINK("https://klasma.github.io/Logging_1401/kartor/A 52164-2023 karta.png", "A 52164-2023")</f>
        <v/>
      </c>
      <c r="Y32">
        <f>HYPERLINK("https://klasma.github.io/Logging_1401/kartor_geotiff/A 52164-2023 georefererad karta.tif", "A 52164-2023")</f>
        <v/>
      </c>
      <c r="AA32">
        <f>HYPERLINK("https://klasma.github.io/Logging_1401/klagomål/A 52164-2023 FSC-klagomål.docx", "A 52164-2023")</f>
        <v/>
      </c>
      <c r="AB32">
        <f>HYPERLINK("https://klasma.github.io/Logging_1401/klagomålsmail/A 52164-2023 FSC-klagomål mail.docx", "A 52164-2023")</f>
        <v/>
      </c>
      <c r="AC32">
        <f>HYPERLINK("https://klasma.github.io/Logging_1401/tillsyn/A 52164-2023 tillsynsbegäran.docx", "A 52164-2023")</f>
        <v/>
      </c>
      <c r="AD32">
        <f>HYPERLINK("https://klasma.github.io/Logging_1401/tillsynsmail/A 52164-2023 tillsynsbegäran mail.docx", "A 52164-2023")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46309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46309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46309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46309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46309</v>
      </c>
      <c r="F37" t="inlineStr">
        <is>
          <t>VÄSTRA GÖTALANDS LÄN</t>
        </is>
      </c>
      <c r="G37" t="inlineStr">
        <is>
          <t>HÄRRYDA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46309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46309</v>
      </c>
      <c r="F39" t="inlineStr">
        <is>
          <t>VÄSTRA GÖTALANDS LÄN</t>
        </is>
      </c>
      <c r="G39" t="inlineStr">
        <is>
          <t>HÄRRYDA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46309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46309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46309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46309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46309</v>
      </c>
      <c r="F44" t="inlineStr">
        <is>
          <t>VÄSTRA GÖTALANDS LÄN</t>
        </is>
      </c>
      <c r="G44" t="inlineStr">
        <is>
          <t>HÄRRYDA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46309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46309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46309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46309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46309</v>
      </c>
      <c r="F49" t="inlineStr">
        <is>
          <t>VÄSTRA GÖTALANDS LÄN</t>
        </is>
      </c>
      <c r="G49" t="inlineStr">
        <is>
          <t>HÄRRYDA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45313</v>
      </c>
      <c r="E50" s="1" t="n">
        <v>46309</v>
      </c>
      <c r="F50" t="inlineStr">
        <is>
          <t>VÄSTRA GÖTALANDS LÄN</t>
        </is>
      </c>
      <c r="G50" t="inlineStr">
        <is>
          <t>HÄRRYDA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45686</v>
      </c>
      <c r="E51" s="1" t="n">
        <v>46309</v>
      </c>
      <c r="F51" t="inlineStr">
        <is>
          <t>VÄSTRA GÖTALANDS LÄN</t>
        </is>
      </c>
      <c r="G51" t="inlineStr">
        <is>
          <t>HÄRRYDA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46309</v>
      </c>
      <c r="F52" t="inlineStr">
        <is>
          <t>VÄSTRA GÖTALANDS LÄN</t>
        </is>
      </c>
      <c r="G52" t="inlineStr">
        <is>
          <t>HÄRRYDA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46309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46309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46309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46309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45811</v>
      </c>
      <c r="E57" s="1" t="n">
        <v>46309</v>
      </c>
      <c r="F57" t="inlineStr">
        <is>
          <t>VÄSTRA GÖTALANDS LÄN</t>
        </is>
      </c>
      <c r="G57" t="inlineStr">
        <is>
          <t>HÄRRYDA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45012</v>
      </c>
      <c r="E58" s="1" t="n">
        <v>46309</v>
      </c>
      <c r="F58" t="inlineStr">
        <is>
          <t>VÄSTRA GÖTALANDS LÄN</t>
        </is>
      </c>
      <c r="G58" t="inlineStr">
        <is>
          <t>HÄRRYDA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45813</v>
      </c>
      <c r="E59" s="1" t="n">
        <v>46309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46309</v>
      </c>
      <c r="F60" t="inlineStr">
        <is>
          <t>VÄSTRA GÖTALANDS LÄN</t>
        </is>
      </c>
      <c r="G60" t="inlineStr">
        <is>
          <t>HÄRRYDA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45625</v>
      </c>
      <c r="E61" s="1" t="n">
        <v>46309</v>
      </c>
      <c r="F61" t="inlineStr">
        <is>
          <t>VÄSTRA GÖTALANDS LÄN</t>
        </is>
      </c>
      <c r="G61" t="inlineStr">
        <is>
          <t>HÄRRYDA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46309</v>
      </c>
      <c r="F62" t="inlineStr">
        <is>
          <t>VÄSTRA GÖTALANDS LÄN</t>
        </is>
      </c>
      <c r="G62" t="inlineStr">
        <is>
          <t>HÄRRYDA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46309</v>
      </c>
      <c r="F63" t="inlineStr">
        <is>
          <t>VÄSTRA GÖTALANDS LÄN</t>
        </is>
      </c>
      <c r="G63" t="inlineStr">
        <is>
          <t>HÄRRYDA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46309</v>
      </c>
      <c r="F64" t="inlineStr">
        <is>
          <t>VÄSTRA GÖTALANDS LÄN</t>
        </is>
      </c>
      <c r="G64" t="inlineStr">
        <is>
          <t>HÄRRYDA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46309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46309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46309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55273-2025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45968</v>
      </c>
      <c r="E68" s="1" t="n">
        <v>46309</v>
      </c>
      <c r="F68" t="inlineStr">
        <is>
          <t>VÄSTRA GÖTALANDS LÄN</t>
        </is>
      </c>
      <c r="G68" t="inlineStr">
        <is>
          <t>HÄRRYDA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46309</v>
      </c>
      <c r="F69" t="inlineStr">
        <is>
          <t>VÄSTRA GÖTALANDS LÄN</t>
        </is>
      </c>
      <c r="G69" t="inlineStr">
        <is>
          <t>HÄRRYDA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40053-2023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46309</v>
      </c>
      <c r="F70" t="inlineStr">
        <is>
          <t>VÄSTRA GÖTALANDS LÄN</t>
        </is>
      </c>
      <c r="G70" t="inlineStr">
        <is>
          <t>HÄRRYDA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44960</v>
      </c>
      <c r="E71" s="1" t="n">
        <v>46309</v>
      </c>
      <c r="F71" t="inlineStr">
        <is>
          <t>VÄSTRA GÖTALANDS LÄN</t>
        </is>
      </c>
      <c r="G71" t="inlineStr">
        <is>
          <t>HÄRRYDA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46309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45994</v>
      </c>
      <c r="E73" s="1" t="n">
        <v>46309</v>
      </c>
      <c r="F73" t="inlineStr">
        <is>
          <t>VÄSTRA GÖTALANDS LÄN</t>
        </is>
      </c>
      <c r="G73" t="inlineStr">
        <is>
          <t>HÄRRYDA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46309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45754</v>
      </c>
      <c r="E75" s="1" t="n">
        <v>46309</v>
      </c>
      <c r="F75" t="inlineStr">
        <is>
          <t>VÄSTRA GÖTALANDS LÄN</t>
        </is>
      </c>
      <c r="G75" t="inlineStr">
        <is>
          <t>HÄRRYDA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46309</v>
      </c>
      <c r="F76" t="inlineStr">
        <is>
          <t>VÄSTRA GÖTALANDS LÄN</t>
        </is>
      </c>
      <c r="G76" t="inlineStr">
        <is>
          <t>HÄRRYDA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45704</v>
      </c>
      <c r="E77" s="1" t="n">
        <v>46309</v>
      </c>
      <c r="F77" t="inlineStr">
        <is>
          <t>VÄSTRA GÖTALANDS LÄN</t>
        </is>
      </c>
      <c r="G77" t="inlineStr">
        <is>
          <t>HÄRRYDA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46309</v>
      </c>
      <c r="F78" t="inlineStr">
        <is>
          <t>VÄSTRA GÖTALANDS LÄN</t>
        </is>
      </c>
      <c r="G78" t="inlineStr">
        <is>
          <t>HÄRRYDA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44826</v>
      </c>
      <c r="E79" s="1" t="n">
        <v>46309</v>
      </c>
      <c r="F79" t="inlineStr">
        <is>
          <t>VÄSTRA GÖTALANDS LÄN</t>
        </is>
      </c>
      <c r="G79" t="inlineStr">
        <is>
          <t>HÄRRYDA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13951-2026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46309</v>
      </c>
      <c r="F80" t="inlineStr">
        <is>
          <t>VÄSTRA GÖTALANDS LÄN</t>
        </is>
      </c>
      <c r="G80" t="inlineStr">
        <is>
          <t>HÄRRYDA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45705</v>
      </c>
      <c r="E81" s="1" t="n">
        <v>46309</v>
      </c>
      <c r="F81" t="inlineStr">
        <is>
          <t>VÄSTRA GÖTALANDS LÄN</t>
        </is>
      </c>
      <c r="G81" t="inlineStr">
        <is>
          <t>HÄRRYDA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15698-2026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46107</v>
      </c>
      <c r="E82" s="1" t="n">
        <v>46309</v>
      </c>
      <c r="F82" t="inlineStr">
        <is>
          <t>VÄSTRA GÖTALANDS LÄN</t>
        </is>
      </c>
      <c r="G82" t="inlineStr">
        <is>
          <t>HÄRRYDA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46309</v>
      </c>
      <c r="F83" t="inlineStr">
        <is>
          <t>VÄSTRA GÖTALANDS LÄN</t>
        </is>
      </c>
      <c r="G83" t="inlineStr">
        <is>
          <t>HÄRRYDA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46309</v>
      </c>
      <c r="F84" t="inlineStr">
        <is>
          <t>VÄSTRA GÖTALANDS LÄN</t>
        </is>
      </c>
      <c r="G84" t="inlineStr">
        <is>
          <t>HÄRRYDA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15401-2026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46106</v>
      </c>
      <c r="E85" s="1" t="n">
        <v>46309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46309</v>
      </c>
      <c r="F86" t="inlineStr">
        <is>
          <t>VÄSTRA GÖTALANDS LÄN</t>
        </is>
      </c>
      <c r="G86" t="inlineStr">
        <is>
          <t>HÄRRYDA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46309</v>
      </c>
      <c r="F87" t="inlineStr">
        <is>
          <t>VÄSTRA GÖTALANDS LÄN</t>
        </is>
      </c>
      <c r="G87" t="inlineStr">
        <is>
          <t>HÄRRYDA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45140</v>
      </c>
      <c r="E88" s="1" t="n">
        <v>46309</v>
      </c>
      <c r="F88" t="inlineStr">
        <is>
          <t>VÄSTRA GÖTALANDS LÄN</t>
        </is>
      </c>
      <c r="G88" t="inlineStr">
        <is>
          <t>HÄRRYDA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45747</v>
      </c>
      <c r="E89" s="1" t="n">
        <v>46309</v>
      </c>
      <c r="F89" t="inlineStr">
        <is>
          <t>VÄSTRA GÖTALANDS LÄN</t>
        </is>
      </c>
      <c r="G89" t="inlineStr">
        <is>
          <t>HÄRRYDA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61741-2025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46309</v>
      </c>
      <c r="F90" t="inlineStr">
        <is>
          <t>VÄSTRA GÖTALANDS LÄN</t>
        </is>
      </c>
      <c r="G90" t="inlineStr">
        <is>
          <t>HÄRRYDA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69563-2021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46309</v>
      </c>
      <c r="F91" t="inlineStr">
        <is>
          <t>VÄSTRA GÖTALANDS LÄN</t>
        </is>
      </c>
      <c r="G91" t="inlineStr">
        <is>
          <t>HÄRRYDA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46309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72891-2021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46309</v>
      </c>
      <c r="F93" t="inlineStr">
        <is>
          <t>VÄSTRA GÖTALANDS LÄN</t>
        </is>
      </c>
      <c r="G93" t="inlineStr">
        <is>
          <t>HÄRRYDA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46309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46309</v>
      </c>
      <c r="F95" t="inlineStr">
        <is>
          <t>VÄSTRA GÖTALANDS LÄN</t>
        </is>
      </c>
      <c r="G95" t="inlineStr">
        <is>
          <t>HÄRRYDA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46309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46309</v>
      </c>
      <c r="F97" t="inlineStr">
        <is>
          <t>VÄSTRA GÖTALANDS LÄN</t>
        </is>
      </c>
      <c r="G97" t="inlineStr">
        <is>
          <t>HÄRRYDA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46309</v>
      </c>
      <c r="F98" t="inlineStr">
        <is>
          <t>VÄSTRA GÖTALANDS LÄN</t>
        </is>
      </c>
      <c r="G98" t="inlineStr">
        <is>
          <t>HÄRRYDA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46309</v>
      </c>
      <c r="F99" t="inlineStr">
        <is>
          <t>VÄSTRA GÖTALANDS LÄN</t>
        </is>
      </c>
      <c r="G99" t="inlineStr">
        <is>
          <t>HÄRRYDA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46309</v>
      </c>
      <c r="F100" t="inlineStr">
        <is>
          <t>VÄSTRA GÖTALANDS LÄN</t>
        </is>
      </c>
      <c r="G100" t="inlineStr">
        <is>
          <t>HÄRRYDA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46309</v>
      </c>
      <c r="F101" t="inlineStr">
        <is>
          <t>VÄSTRA GÖTALANDS LÄN</t>
        </is>
      </c>
      <c r="G101" t="inlineStr">
        <is>
          <t>HÄRRYDA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46309</v>
      </c>
      <c r="F102" t="inlineStr">
        <is>
          <t>VÄSTRA GÖTALANDS LÄN</t>
        </is>
      </c>
      <c r="G102" t="inlineStr">
        <is>
          <t>HÄRRYDA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46309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65080-2023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45287</v>
      </c>
      <c r="E104" s="1" t="n">
        <v>46309</v>
      </c>
      <c r="F104" t="inlineStr">
        <is>
          <t>VÄSTRA GÖTALANDS LÄN</t>
        </is>
      </c>
      <c r="G104" t="inlineStr">
        <is>
          <t>HÄRRYDA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46309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45307</v>
      </c>
      <c r="E106" s="1" t="n">
        <v>46309</v>
      </c>
      <c r="F106" t="inlineStr">
        <is>
          <t>VÄSTRA GÖTALANDS LÄN</t>
        </is>
      </c>
      <c r="G106" t="inlineStr">
        <is>
          <t>HÄRRYDA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46309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46309</v>
      </c>
      <c r="F108" t="inlineStr">
        <is>
          <t>VÄSTRA GÖTALANDS LÄN</t>
        </is>
      </c>
      <c r="G108" t="inlineStr">
        <is>
          <t>HÄRRYDA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45651</v>
      </c>
      <c r="E109" s="1" t="n">
        <v>46309</v>
      </c>
      <c r="F109" t="inlineStr">
        <is>
          <t>VÄSTRA GÖTALANDS LÄN</t>
        </is>
      </c>
      <c r="G109" t="inlineStr">
        <is>
          <t>HÄRRYDA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46309</v>
      </c>
      <c r="F110" t="inlineStr">
        <is>
          <t>VÄSTRA GÖTALANDS LÄN</t>
        </is>
      </c>
      <c r="G110" t="inlineStr">
        <is>
          <t>HÄRRYDA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46309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46309</v>
      </c>
      <c r="F112" t="inlineStr">
        <is>
          <t>VÄSTRA GÖTALANDS LÄN</t>
        </is>
      </c>
      <c r="G112" t="inlineStr">
        <is>
          <t>HÄRRYDA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46225</v>
      </c>
      <c r="E113" s="1" t="n">
        <v>46309</v>
      </c>
      <c r="F113" t="inlineStr">
        <is>
          <t>VÄSTRA GÖTALANDS LÄN</t>
        </is>
      </c>
      <c r="G113" t="inlineStr">
        <is>
          <t>HÄRRYDA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44732</v>
      </c>
      <c r="E114" s="1" t="n">
        <v>46309</v>
      </c>
      <c r="F114" t="inlineStr">
        <is>
          <t>VÄSTRA GÖTALANDS LÄN</t>
        </is>
      </c>
      <c r="G114" t="inlineStr">
        <is>
          <t>HÄRRYDA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36502-2026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46269</v>
      </c>
      <c r="E115" s="1" t="n">
        <v>46309</v>
      </c>
      <c r="F115" t="inlineStr">
        <is>
          <t>VÄSTRA GÖTALANDS LÄN</t>
        </is>
      </c>
      <c r="G115" t="inlineStr">
        <is>
          <t>HÄRRYDA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46309</v>
      </c>
      <c r="F116" t="inlineStr">
        <is>
          <t>VÄSTRA GÖTALANDS LÄN</t>
        </is>
      </c>
      <c r="G116" t="inlineStr">
        <is>
          <t>HÄRRYDA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46309</v>
      </c>
      <c r="F117" t="inlineStr">
        <is>
          <t>VÄSTRA GÖTALANDS LÄN</t>
        </is>
      </c>
      <c r="G117" t="inlineStr">
        <is>
          <t>HÄRRYDA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46309</v>
      </c>
      <c r="F118" t="inlineStr">
        <is>
          <t>VÄSTRA GÖTALANDS LÄN</t>
        </is>
      </c>
      <c r="G118" t="inlineStr">
        <is>
          <t>HÄRRYDA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64291-2023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45280</v>
      </c>
      <c r="E119" s="1" t="n">
        <v>46309</v>
      </c>
      <c r="F119" t="inlineStr">
        <is>
          <t>VÄSTRA GÖTALANDS LÄN</t>
        </is>
      </c>
      <c r="G119" t="inlineStr">
        <is>
          <t>HÄRRYDA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45587</v>
      </c>
      <c r="E120" s="1" t="n">
        <v>46309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46309</v>
      </c>
      <c r="F121" t="inlineStr">
        <is>
          <t>VÄSTRA GÖTALANDS LÄN</t>
        </is>
      </c>
      <c r="G121" t="inlineStr">
        <is>
          <t>HÄRRYDA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46309</v>
      </c>
      <c r="F122" t="inlineStr">
        <is>
          <t>VÄSTRA GÖTALANDS LÄN</t>
        </is>
      </c>
      <c r="G122" t="inlineStr">
        <is>
          <t>HÄRRYDA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46309</v>
      </c>
      <c r="F123" t="inlineStr">
        <is>
          <t>VÄSTRA GÖTALANDS LÄN</t>
        </is>
      </c>
      <c r="G123" t="inlineStr">
        <is>
          <t>HÄRRYDA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46309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46309</v>
      </c>
      <c r="F125" t="inlineStr">
        <is>
          <t>VÄSTRA GÖTALANDS LÄN</t>
        </is>
      </c>
      <c r="G125" t="inlineStr">
        <is>
          <t>HÄRRYDA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45218</v>
      </c>
      <c r="E126" s="1" t="n">
        <v>46309</v>
      </c>
      <c r="F126" t="inlineStr">
        <is>
          <t>VÄSTRA GÖTALANDS LÄN</t>
        </is>
      </c>
      <c r="G126" t="inlineStr">
        <is>
          <t>HÄRRYDA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46309</v>
      </c>
      <c r="F127" t="inlineStr">
        <is>
          <t>VÄSTRA GÖTALANDS LÄN</t>
        </is>
      </c>
      <c r="G127" t="inlineStr">
        <is>
          <t>HÄRRYDA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44911</v>
      </c>
      <c r="E128" s="1" t="n">
        <v>46309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46309</v>
      </c>
      <c r="F129" t="inlineStr">
        <is>
          <t>VÄSTRA GÖTALANDS LÄN</t>
        </is>
      </c>
      <c r="G129" t="inlineStr">
        <is>
          <t>HÄRRYDA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46309</v>
      </c>
      <c r="F130" t="inlineStr">
        <is>
          <t>VÄSTRA GÖTALANDS LÄN</t>
        </is>
      </c>
      <c r="G130" t="inlineStr">
        <is>
          <t>HÄRRYDA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45336</v>
      </c>
      <c r="E131" s="1" t="n">
        <v>46309</v>
      </c>
      <c r="F131" t="inlineStr">
        <is>
          <t>VÄSTRA GÖTALANDS LÄN</t>
        </is>
      </c>
      <c r="G131" t="inlineStr">
        <is>
          <t>HÄRRYDA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55071-2023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45237</v>
      </c>
      <c r="E132" s="1" t="n">
        <v>46309</v>
      </c>
      <c r="F132" t="inlineStr">
        <is>
          <t>VÄSTRA GÖTALANDS LÄN</t>
        </is>
      </c>
      <c r="G132" t="inlineStr">
        <is>
          <t>HÄRRYDA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46309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46309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46296</v>
      </c>
      <c r="E135" s="1" t="n">
        <v>46309</v>
      </c>
      <c r="F135" t="inlineStr">
        <is>
          <t>VÄSTRA GÖTALANDS LÄN</t>
        </is>
      </c>
      <c r="G135" t="inlineStr">
        <is>
          <t>HÄRRYDA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40559-2026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46295</v>
      </c>
      <c r="E136" s="1" t="n">
        <v>46309</v>
      </c>
      <c r="F136" t="inlineStr">
        <is>
          <t>VÄSTRA GÖTALANDS LÄN</t>
        </is>
      </c>
      <c r="G136" t="inlineStr">
        <is>
          <t>HÄRRYDA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45785</v>
      </c>
      <c r="E137" s="1" t="n">
        <v>46309</v>
      </c>
      <c r="F137" t="inlineStr">
        <is>
          <t>VÄSTRA GÖTALANDS LÄN</t>
        </is>
      </c>
      <c r="G137" t="inlineStr">
        <is>
          <t>HÄRRYDA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46302</v>
      </c>
      <c r="E138" s="1" t="n">
        <v>46309</v>
      </c>
      <c r="F138" t="inlineStr">
        <is>
          <t>VÄSTRA GÖTALANDS LÄN</t>
        </is>
      </c>
      <c r="G138" t="inlineStr">
        <is>
          <t>HÄRRYDA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46302</v>
      </c>
      <c r="E139" s="1" t="n">
        <v>46309</v>
      </c>
      <c r="F139" t="inlineStr">
        <is>
          <t>VÄSTRA GÖTALANDS LÄN</t>
        </is>
      </c>
      <c r="G139" t="inlineStr">
        <is>
          <t>HÄRRYDA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46302</v>
      </c>
      <c r="E140" s="1" t="n">
        <v>46309</v>
      </c>
      <c r="F140" t="inlineStr">
        <is>
          <t>VÄSTRA GÖTALANDS LÄN</t>
        </is>
      </c>
      <c r="G140" t="inlineStr">
        <is>
          <t>HÄRRYDA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46302</v>
      </c>
      <c r="E141" s="1" t="n">
        <v>46309</v>
      </c>
      <c r="F141" t="inlineStr">
        <is>
          <t>VÄSTRA GÖTALANDS LÄN</t>
        </is>
      </c>
      <c r="G141" t="inlineStr">
        <is>
          <t>HÄRRYDA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A 42220-2026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46306</v>
      </c>
      <c r="E142" s="1" t="n">
        <v>46309</v>
      </c>
      <c r="F142" t="inlineStr">
        <is>
          <t>VÄSTRA GÖTALANDS LÄN</t>
        </is>
      </c>
      <c r="G142" t="inlineStr">
        <is>
          <t>HÄRRYDA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2026-10-14T02:00:38Z</dcterms:created>
  <dcterms:modified xmlns:dcterms="http://purl.org/dc/terms/" xmlns:xsi="http://www.w3.org/2001/XMLSchema-instance" xsi:type="dcterms:W3CDTF">2026-10-14T02:00:39Z</dcterms:modified>
</cp:coreProperties>
</file>