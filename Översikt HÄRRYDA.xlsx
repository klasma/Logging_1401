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45362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  <c r="Z2">
        <f>HYPERLINK("https://klasma.github.io/Logging_1401/fåglar/A 18975-2019 prioriterade fågelarter.docx", "A 18975-2019")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45362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19823-2019</t>
        </is>
      </c>
      <c r="B4" s="1" t="n">
        <v>43567</v>
      </c>
      <c r="C4" s="1" t="n">
        <v>45362</v>
      </c>
      <c r="D4" t="inlineStr">
        <is>
          <t>VÄSTRA GÖTALANDS LÄN</t>
        </is>
      </c>
      <c r="E4" t="inlineStr">
        <is>
          <t>HÄRRYDA</t>
        </is>
      </c>
      <c r="G4" t="n">
        <v>1.8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Kattfotslav
Åkergroda
Vanlig padda</t>
        </is>
      </c>
      <c r="S4">
        <f>HYPERLINK("https://klasma.github.io/Logging_1401/artfynd/A 19823-2019 artfynd.xlsx", "A 19823-2019")</f>
        <v/>
      </c>
      <c r="T4">
        <f>HYPERLINK("https://klasma.github.io/Logging_1401/kartor/A 19823-2019 karta.png", "A 19823-2019")</f>
        <v/>
      </c>
      <c r="V4">
        <f>HYPERLINK("https://klasma.github.io/Logging_1401/klagomål/A 19823-2019 FSC-klagomål.docx", "A 19823-2019")</f>
        <v/>
      </c>
      <c r="W4">
        <f>HYPERLINK("https://klasma.github.io/Logging_1401/klagomålsmail/A 19823-2019 FSC-klagomål mail.docx", "A 19823-2019")</f>
        <v/>
      </c>
      <c r="X4">
        <f>HYPERLINK("https://klasma.github.io/Logging_1401/tillsyn/A 19823-2019 tillsynsbegäran.docx", "A 19823-2019")</f>
        <v/>
      </c>
      <c r="Y4">
        <f>HYPERLINK("https://klasma.github.io/Logging_1401/tillsynsmail/A 19823-2019 tillsynsbegäran mail.docx", "A 19823-2019")</f>
        <v/>
      </c>
    </row>
    <row r="5" ht="15" customHeight="1">
      <c r="A5" t="inlineStr">
        <is>
          <t>A 25441-2022</t>
        </is>
      </c>
      <c r="B5" s="1" t="n">
        <v>44732</v>
      </c>
      <c r="C5" s="1" t="n">
        <v>45362</v>
      </c>
      <c r="D5" t="inlineStr">
        <is>
          <t>VÄSTRA GÖTALANDS LÄN</t>
        </is>
      </c>
      <c r="E5" t="inlineStr">
        <is>
          <t>HÄRRYDA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Svartvit flugsnappare
Vanlig groda</t>
        </is>
      </c>
      <c r="S5">
        <f>HYPERLINK("https://klasma.github.io/Logging_1401/artfynd/A 25441-2022 artfynd.xlsx", "A 25441-2022")</f>
        <v/>
      </c>
      <c r="T5">
        <f>HYPERLINK("https://klasma.github.io/Logging_1401/kartor/A 25441-2022 karta.png", "A 25441-2022")</f>
        <v/>
      </c>
      <c r="V5">
        <f>HYPERLINK("https://klasma.github.io/Logging_1401/klagomål/A 25441-2022 FSC-klagomål.docx", "A 25441-2022")</f>
        <v/>
      </c>
      <c r="W5">
        <f>HYPERLINK("https://klasma.github.io/Logging_1401/klagomålsmail/A 25441-2022 FSC-klagomål mail.docx", "A 25441-2022")</f>
        <v/>
      </c>
      <c r="X5">
        <f>HYPERLINK("https://klasma.github.io/Logging_1401/tillsyn/A 25441-2022 tillsynsbegäran.docx", "A 25441-2022")</f>
        <v/>
      </c>
      <c r="Y5">
        <f>HYPERLINK("https://klasma.github.io/Logging_1401/tillsynsmail/A 25441-2022 tillsynsbegäran mail.docx", "A 25441-2022")</f>
        <v/>
      </c>
      <c r="Z5">
        <f>HYPERLINK("https://klasma.github.io/Logging_1401/fåglar/A 25441-2022 prioriterade fågelarter.docx", "A 25441-2022")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45362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  <c r="Z6">
        <f>HYPERLINK("https://klasma.github.io/Logging_1401/fåglar/A 42060-2018 prioriterade fågelarter.docx", "A 42060-2018")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45362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45362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52875-2019</t>
        </is>
      </c>
      <c r="B9" s="1" t="n">
        <v>43746</v>
      </c>
      <c r="C9" s="1" t="n">
        <v>45362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HYPERLINK("https://klasma.github.io/Logging_1401/artfynd/A 52875-2019 artfynd.xlsx", "A 52875-2019")</f>
        <v/>
      </c>
      <c r="T9">
        <f>HYPERLINK("https://klasma.github.io/Logging_1401/kartor/A 52875-2019 karta.png", "A 52875-2019")</f>
        <v/>
      </c>
      <c r="V9">
        <f>HYPERLINK("https://klasma.github.io/Logging_1401/klagomål/A 52875-2019 FSC-klagomål.docx", "A 52875-2019")</f>
        <v/>
      </c>
      <c r="W9">
        <f>HYPERLINK("https://klasma.github.io/Logging_1401/klagomålsmail/A 52875-2019 FSC-klagomål mail.docx", "A 52875-2019")</f>
        <v/>
      </c>
      <c r="X9">
        <f>HYPERLINK("https://klasma.github.io/Logging_1401/tillsyn/A 52875-2019 tillsynsbegäran.docx", "A 52875-2019")</f>
        <v/>
      </c>
      <c r="Y9">
        <f>HYPERLINK("https://klasma.github.io/Logging_1401/tillsynsmail/A 52875-2019 tillsynsbegäran mail.docx", "A 52875-2019")</f>
        <v/>
      </c>
      <c r="Z9">
        <f>HYPERLINK("https://klasma.github.io/Logging_1401/fåglar/A 52875-2019 prioriterade fågelarter.docx", "A 52875-2019")</f>
        <v/>
      </c>
    </row>
    <row r="10" ht="15" customHeight="1">
      <c r="A10" t="inlineStr">
        <is>
          <t>A 14791-2020</t>
        </is>
      </c>
      <c r="B10" s="1" t="n">
        <v>43909</v>
      </c>
      <c r="C10" s="1" t="n">
        <v>45362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HYPERLINK("https://klasma.github.io/Logging_1401/artfynd/A 14791-2020 artfynd.xlsx", "A 14791-2020")</f>
        <v/>
      </c>
      <c r="T10">
        <f>HYPERLINK("https://klasma.github.io/Logging_1401/kartor/A 14791-2020 karta.png", "A 14791-2020")</f>
        <v/>
      </c>
      <c r="V10">
        <f>HYPERLINK("https://klasma.github.io/Logging_1401/klagomål/A 14791-2020 FSC-klagomål.docx", "A 14791-2020")</f>
        <v/>
      </c>
      <c r="W10">
        <f>HYPERLINK("https://klasma.github.io/Logging_1401/klagomålsmail/A 14791-2020 FSC-klagomål mail.docx", "A 14791-2020")</f>
        <v/>
      </c>
      <c r="X10">
        <f>HYPERLINK("https://klasma.github.io/Logging_1401/tillsyn/A 14791-2020 tillsynsbegäran.docx", "A 14791-2020")</f>
        <v/>
      </c>
      <c r="Y10">
        <f>HYPERLINK("https://klasma.github.io/Logging_1401/tillsynsmail/A 14791-2020 tillsynsbegäran mail.docx", "A 14791-2020")</f>
        <v/>
      </c>
    </row>
    <row r="11" ht="15" customHeight="1">
      <c r="A11" t="inlineStr">
        <is>
          <t>A 18853-2020</t>
        </is>
      </c>
      <c r="B11" s="1" t="n">
        <v>43929</v>
      </c>
      <c r="C11" s="1" t="n">
        <v>45362</v>
      </c>
      <c r="D11" t="inlineStr">
        <is>
          <t>VÄSTRA GÖTALANDS LÄN</t>
        </is>
      </c>
      <c r="E11" t="inlineStr">
        <is>
          <t>HÄRRYDA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HYPERLINK("https://klasma.github.io/Logging_1401/artfynd/A 18853-2020 artfynd.xlsx", "A 18853-2020")</f>
        <v/>
      </c>
      <c r="T11">
        <f>HYPERLINK("https://klasma.github.io/Logging_1401/kartor/A 18853-2020 karta.png", "A 18853-2020")</f>
        <v/>
      </c>
      <c r="V11">
        <f>HYPERLINK("https://klasma.github.io/Logging_1401/klagomål/A 18853-2020 FSC-klagomål.docx", "A 18853-2020")</f>
        <v/>
      </c>
      <c r="W11">
        <f>HYPERLINK("https://klasma.github.io/Logging_1401/klagomålsmail/A 18853-2020 FSC-klagomål mail.docx", "A 18853-2020")</f>
        <v/>
      </c>
      <c r="X11">
        <f>HYPERLINK("https://klasma.github.io/Logging_1401/tillsyn/A 18853-2020 tillsynsbegäran.docx", "A 18853-2020")</f>
        <v/>
      </c>
      <c r="Y11">
        <f>HYPERLINK("https://klasma.github.io/Logging_1401/tillsynsmail/A 18853-2020 tillsynsbegäran mail.docx", "A 18853-2020")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45362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45362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53203-2021</t>
        </is>
      </c>
      <c r="B14" s="1" t="n">
        <v>44468</v>
      </c>
      <c r="C14" s="1" t="n">
        <v>45362</v>
      </c>
      <c r="D14" t="inlineStr">
        <is>
          <t>VÄSTRA GÖTALANDS LÄN</t>
        </is>
      </c>
      <c r="E14" t="inlineStr">
        <is>
          <t>HÄRRYDA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53203-2021 artfynd.xlsx", "A 53203-2021")</f>
        <v/>
      </c>
      <c r="T14">
        <f>HYPERLINK("https://klasma.github.io/Logging_1401/kartor/A 53203-2021 karta.png", "A 53203-2021")</f>
        <v/>
      </c>
      <c r="V14">
        <f>HYPERLINK("https://klasma.github.io/Logging_1401/klagomål/A 53203-2021 FSC-klagomål.docx", "A 53203-2021")</f>
        <v/>
      </c>
      <c r="W14">
        <f>HYPERLINK("https://klasma.github.io/Logging_1401/klagomålsmail/A 53203-2021 FSC-klagomål mail.docx", "A 53203-2021")</f>
        <v/>
      </c>
      <c r="X14">
        <f>HYPERLINK("https://klasma.github.io/Logging_1401/tillsyn/A 53203-2021 tillsynsbegäran.docx", "A 53203-2021")</f>
        <v/>
      </c>
      <c r="Y14">
        <f>HYPERLINK("https://klasma.github.io/Logging_1401/tillsynsmail/A 53203-2021 tillsynsbegäran mail.docx", "A 53203-2021")</f>
        <v/>
      </c>
    </row>
    <row r="15" ht="15" customHeight="1">
      <c r="A15" t="inlineStr">
        <is>
          <t>A 64860-2021</t>
        </is>
      </c>
      <c r="B15" s="1" t="n">
        <v>44512</v>
      </c>
      <c r="C15" s="1" t="n">
        <v>45362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21.3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HYPERLINK("https://klasma.github.io/Logging_1401/artfynd/A 64860-2021 artfynd.xlsx", "A 64860-2021")</f>
        <v/>
      </c>
      <c r="T15">
        <f>HYPERLINK("https://klasma.github.io/Logging_1401/kartor/A 64860-2021 karta.png", "A 64860-2021")</f>
        <v/>
      </c>
      <c r="V15">
        <f>HYPERLINK("https://klasma.github.io/Logging_1401/klagomål/A 64860-2021 FSC-klagomål.docx", "A 64860-2021")</f>
        <v/>
      </c>
      <c r="W15">
        <f>HYPERLINK("https://klasma.github.io/Logging_1401/klagomålsmail/A 64860-2021 FSC-klagomål mail.docx", "A 64860-2021")</f>
        <v/>
      </c>
      <c r="X15">
        <f>HYPERLINK("https://klasma.github.io/Logging_1401/tillsyn/A 64860-2021 tillsynsbegäran.docx", "A 64860-2021")</f>
        <v/>
      </c>
      <c r="Y15">
        <f>HYPERLINK("https://klasma.github.io/Logging_1401/tillsynsmail/A 64860-2021 tillsynsbegäran mail.docx", "A 64860-2021")</f>
        <v/>
      </c>
    </row>
    <row r="16" ht="15" customHeight="1">
      <c r="A16" t="inlineStr">
        <is>
          <t>A 20640-2022</t>
        </is>
      </c>
      <c r="B16" s="1" t="n">
        <v>44700</v>
      </c>
      <c r="C16" s="1" t="n">
        <v>45362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20640-2022 artfynd.xlsx", "A 20640-2022")</f>
        <v/>
      </c>
      <c r="T16">
        <f>HYPERLINK("https://klasma.github.io/Logging_1401/kartor/A 20640-2022 karta.png", "A 20640-2022")</f>
        <v/>
      </c>
      <c r="V16">
        <f>HYPERLINK("https://klasma.github.io/Logging_1401/klagomål/A 20640-2022 FSC-klagomål.docx", "A 20640-2022")</f>
        <v/>
      </c>
      <c r="W16">
        <f>HYPERLINK("https://klasma.github.io/Logging_1401/klagomålsmail/A 20640-2022 FSC-klagomål mail.docx", "A 20640-2022")</f>
        <v/>
      </c>
      <c r="X16">
        <f>HYPERLINK("https://klasma.github.io/Logging_1401/tillsyn/A 20640-2022 tillsynsbegäran.docx", "A 20640-2022")</f>
        <v/>
      </c>
      <c r="Y16">
        <f>HYPERLINK("https://klasma.github.io/Logging_1401/tillsynsmail/A 20640-2022 tillsynsbegäran mail.docx", "A 20640-2022")</f>
        <v/>
      </c>
    </row>
    <row r="17" ht="15" customHeight="1">
      <c r="A17" t="inlineStr">
        <is>
          <t>A 16802-2023</t>
        </is>
      </c>
      <c r="B17" s="1" t="n">
        <v>45033</v>
      </c>
      <c r="C17" s="1" t="n">
        <v>45362</v>
      </c>
      <c r="D17" t="inlineStr">
        <is>
          <t>VÄSTRA GÖTALANDS LÄN</t>
        </is>
      </c>
      <c r="E17" t="inlineStr">
        <is>
          <t>HÄRRYDA</t>
        </is>
      </c>
      <c r="G17" t="n">
        <v>6.5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HYPERLINK("https://klasma.github.io/Logging_1401/artfynd/A 16802-2023 artfynd.xlsx", "A 16802-2023")</f>
        <v/>
      </c>
      <c r="T17">
        <f>HYPERLINK("https://klasma.github.io/Logging_1401/kartor/A 16802-2023 karta.png", "A 16802-2023")</f>
        <v/>
      </c>
      <c r="V17">
        <f>HYPERLINK("https://klasma.github.io/Logging_1401/klagomål/A 16802-2023 FSC-klagomål.docx", "A 16802-2023")</f>
        <v/>
      </c>
      <c r="W17">
        <f>HYPERLINK("https://klasma.github.io/Logging_1401/klagomålsmail/A 16802-2023 FSC-klagomål mail.docx", "A 16802-2023")</f>
        <v/>
      </c>
      <c r="X17">
        <f>HYPERLINK("https://klasma.github.io/Logging_1401/tillsyn/A 16802-2023 tillsynsbegäran.docx", "A 16802-2023")</f>
        <v/>
      </c>
      <c r="Y17">
        <f>HYPERLINK("https://klasma.github.io/Logging_1401/tillsynsmail/A 16802-2023 tillsynsbegäran mail.docx", "A 16802-2023")</f>
        <v/>
      </c>
      <c r="Z17">
        <f>HYPERLINK("https://klasma.github.io/Logging_1401/fåglar/A 16802-2023 prioriterade fågelarter.docx", "A 16802-2023")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45362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26330-2023</t>
        </is>
      </c>
      <c r="B19" s="1" t="n">
        <v>45091</v>
      </c>
      <c r="C19" s="1" t="n">
        <v>45362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26330-2023 artfynd.xlsx", "A 26330-2023")</f>
        <v/>
      </c>
      <c r="T19">
        <f>HYPERLINK("https://klasma.github.io/Logging_1401/kartor/A 26330-2023 karta.png", "A 26330-2023")</f>
        <v/>
      </c>
      <c r="V19">
        <f>HYPERLINK("https://klasma.github.io/Logging_1401/klagomål/A 26330-2023 FSC-klagomål.docx", "A 26330-2023")</f>
        <v/>
      </c>
      <c r="W19">
        <f>HYPERLINK("https://klasma.github.io/Logging_1401/klagomålsmail/A 26330-2023 FSC-klagomål mail.docx", "A 26330-2023")</f>
        <v/>
      </c>
      <c r="X19">
        <f>HYPERLINK("https://klasma.github.io/Logging_1401/tillsyn/A 26330-2023 tillsynsbegäran.docx", "A 26330-2023")</f>
        <v/>
      </c>
      <c r="Y19">
        <f>HYPERLINK("https://klasma.github.io/Logging_1401/tillsynsmail/A 26330-2023 tillsynsbegäran mail.docx", "A 26330-2023")</f>
        <v/>
      </c>
    </row>
    <row r="20" ht="15" customHeight="1">
      <c r="A20" t="inlineStr">
        <is>
          <t>A 41444-2023</t>
        </is>
      </c>
      <c r="B20" s="1" t="n">
        <v>45175</v>
      </c>
      <c r="C20" s="1" t="n">
        <v>45362</v>
      </c>
      <c r="D20" t="inlineStr">
        <is>
          <t>VÄSTRA GÖTALANDS LÄN</t>
        </is>
      </c>
      <c r="E20" t="inlineStr">
        <is>
          <t>HÄRRYDA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41444-2023 artfynd.xlsx", "A 41444-2023")</f>
        <v/>
      </c>
      <c r="T20">
        <f>HYPERLINK("https://klasma.github.io/Logging_1401/kartor/A 41444-2023 karta.png", "A 41444-2023")</f>
        <v/>
      </c>
      <c r="V20">
        <f>HYPERLINK("https://klasma.github.io/Logging_1401/klagomål/A 41444-2023 FSC-klagomål.docx", "A 41444-2023")</f>
        <v/>
      </c>
      <c r="W20">
        <f>HYPERLINK("https://klasma.github.io/Logging_1401/klagomålsmail/A 41444-2023 FSC-klagomål mail.docx", "A 41444-2023")</f>
        <v/>
      </c>
      <c r="X20">
        <f>HYPERLINK("https://klasma.github.io/Logging_1401/tillsyn/A 41444-2023 tillsynsbegäran.docx", "A 41444-2023")</f>
        <v/>
      </c>
      <c r="Y20">
        <f>HYPERLINK("https://klasma.github.io/Logging_1401/tillsynsmail/A 41444-2023 tillsynsbegäran mail.docx", "A 41444-2023")</f>
        <v/>
      </c>
    </row>
    <row r="21" ht="15" customHeight="1">
      <c r="A21" t="inlineStr">
        <is>
          <t>A 55686-2023</t>
        </is>
      </c>
      <c r="B21" s="1" t="n">
        <v>45239</v>
      </c>
      <c r="C21" s="1" t="n">
        <v>45362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55708-2023</t>
        </is>
      </c>
      <c r="B22" s="1" t="n">
        <v>45239</v>
      </c>
      <c r="C22" s="1" t="n">
        <v>45362</v>
      </c>
      <c r="D22" t="inlineStr">
        <is>
          <t>VÄSTRA GÖTALANDS LÄN</t>
        </is>
      </c>
      <c r="E22" t="inlineStr">
        <is>
          <t>HÄRRYDA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55708-2023 artfynd.xlsx", "A 55708-2023")</f>
        <v/>
      </c>
      <c r="T22">
        <f>HYPERLINK("https://klasma.github.io/Logging_1401/kartor/A 55708-2023 karta.png", "A 55708-2023")</f>
        <v/>
      </c>
      <c r="V22">
        <f>HYPERLINK("https://klasma.github.io/Logging_1401/klagomål/A 55708-2023 FSC-klagomål.docx", "A 55708-2023")</f>
        <v/>
      </c>
      <c r="W22">
        <f>HYPERLINK("https://klasma.github.io/Logging_1401/klagomålsmail/A 55708-2023 FSC-klagomål mail.docx", "A 55708-2023")</f>
        <v/>
      </c>
      <c r="X22">
        <f>HYPERLINK("https://klasma.github.io/Logging_1401/tillsyn/A 55708-2023 tillsynsbegäran.docx", "A 55708-2023")</f>
        <v/>
      </c>
      <c r="Y22">
        <f>HYPERLINK("https://klasma.github.io/Logging_1401/tillsynsmail/A 55708-2023 tillsynsbegäran mail.docx", "A 55708-2023")</f>
        <v/>
      </c>
      <c r="Z22">
        <f>HYPERLINK("https://klasma.github.io/Logging_1401/fåglar/A 55708-2023 prioriterade fågelarter.docx", "A 55708-2023")</f>
        <v/>
      </c>
    </row>
    <row r="23" ht="15" customHeight="1">
      <c r="A23" t="inlineStr">
        <is>
          <t>A 34019-2018</t>
        </is>
      </c>
      <c r="B23" s="1" t="n">
        <v>43315</v>
      </c>
      <c r="C23" s="1" t="n">
        <v>45362</v>
      </c>
      <c r="D23" t="inlineStr">
        <is>
          <t>VÄSTRA GÖTALANDS LÄN</t>
        </is>
      </c>
      <c r="E23" t="inlineStr">
        <is>
          <t>HÄRRYDA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35566-2018</t>
        </is>
      </c>
      <c r="B24" s="1" t="n">
        <v>43326</v>
      </c>
      <c r="C24" s="1" t="n">
        <v>45362</v>
      </c>
      <c r="D24" t="inlineStr">
        <is>
          <t>VÄSTRA GÖTALANDS LÄN</t>
        </is>
      </c>
      <c r="E24" t="inlineStr">
        <is>
          <t>HÄRRYDA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61726-2018</t>
        </is>
      </c>
      <c r="B25" s="1" t="n">
        <v>43383</v>
      </c>
      <c r="C25" s="1" t="n">
        <v>45362</v>
      </c>
      <c r="D25" t="inlineStr">
        <is>
          <t>VÄSTRA GÖTALANDS LÄN</t>
        </is>
      </c>
      <c r="E25" t="inlineStr">
        <is>
          <t>HÄRRYDA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56544-2018</t>
        </is>
      </c>
      <c r="B26" s="1" t="n">
        <v>43402</v>
      </c>
      <c r="C26" s="1" t="n">
        <v>45362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57836-2018</t>
        </is>
      </c>
      <c r="B27" s="1" t="n">
        <v>43405</v>
      </c>
      <c r="C27" s="1" t="n">
        <v>45362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57834-2018</t>
        </is>
      </c>
      <c r="B28" s="1" t="n">
        <v>43405</v>
      </c>
      <c r="C28" s="1" t="n">
        <v>45362</v>
      </c>
      <c r="D28" t="inlineStr">
        <is>
          <t>VÄSTRA GÖTALANDS LÄN</t>
        </is>
      </c>
      <c r="E28" t="inlineStr">
        <is>
          <t>HÄRRYDA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61396-2018</t>
        </is>
      </c>
      <c r="B29" s="1" t="n">
        <v>43424</v>
      </c>
      <c r="C29" s="1" t="n">
        <v>45362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68069-2018</t>
        </is>
      </c>
      <c r="B30" s="1" t="n">
        <v>43441</v>
      </c>
      <c r="C30" s="1" t="n">
        <v>45362</v>
      </c>
      <c r="D30" t="inlineStr">
        <is>
          <t>VÄSTRA GÖTALANDS LÄN</t>
        </is>
      </c>
      <c r="E30" t="inlineStr">
        <is>
          <t>HÄRRYDA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68077-2018</t>
        </is>
      </c>
      <c r="B31" s="1" t="n">
        <v>43441</v>
      </c>
      <c r="C31" s="1" t="n">
        <v>45362</v>
      </c>
      <c r="D31" t="inlineStr">
        <is>
          <t>VÄSTRA GÖTALANDS LÄN</t>
        </is>
      </c>
      <c r="E31" t="inlineStr">
        <is>
          <t>HÄRRYDA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68709-2018</t>
        </is>
      </c>
      <c r="B32" s="1" t="n">
        <v>43444</v>
      </c>
      <c r="C32" s="1" t="n">
        <v>45362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72210-2018</t>
        </is>
      </c>
      <c r="B33" s="1" t="n">
        <v>43455</v>
      </c>
      <c r="C33" s="1" t="n">
        <v>45362</v>
      </c>
      <c r="D33" t="inlineStr">
        <is>
          <t>VÄSTRA GÖTALANDS LÄN</t>
        </is>
      </c>
      <c r="E33" t="inlineStr">
        <is>
          <t>HÄRRYDA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72211-2018</t>
        </is>
      </c>
      <c r="B34" s="1" t="n">
        <v>43455</v>
      </c>
      <c r="C34" s="1" t="n">
        <v>45362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4516-2019</t>
        </is>
      </c>
      <c r="B35" s="1" t="n">
        <v>43486</v>
      </c>
      <c r="C35" s="1" t="n">
        <v>45362</v>
      </c>
      <c r="D35" t="inlineStr">
        <is>
          <t>VÄSTRA GÖTALANDS LÄN</t>
        </is>
      </c>
      <c r="E35" t="inlineStr">
        <is>
          <t>HÄRRYDA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4526-2019</t>
        </is>
      </c>
      <c r="B36" s="1" t="n">
        <v>43486</v>
      </c>
      <c r="C36" s="1" t="n">
        <v>45362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4960-2019</t>
        </is>
      </c>
      <c r="B37" s="1" t="n">
        <v>43487</v>
      </c>
      <c r="C37" s="1" t="n">
        <v>45362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6199-2019</t>
        </is>
      </c>
      <c r="B38" s="1" t="n">
        <v>43493</v>
      </c>
      <c r="C38" s="1" t="n">
        <v>45362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6151-2019</t>
        </is>
      </c>
      <c r="B39" s="1" t="n">
        <v>43493</v>
      </c>
      <c r="C39" s="1" t="n">
        <v>45362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6115-2019</t>
        </is>
      </c>
      <c r="B40" s="1" t="n">
        <v>43493</v>
      </c>
      <c r="C40" s="1" t="n">
        <v>45362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7267-2019</t>
        </is>
      </c>
      <c r="B41" s="1" t="n">
        <v>43496</v>
      </c>
      <c r="C41" s="1" t="n">
        <v>45362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7253-2019</t>
        </is>
      </c>
      <c r="B42" s="1" t="n">
        <v>43496</v>
      </c>
      <c r="C42" s="1" t="n">
        <v>45362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16082-2019</t>
        </is>
      </c>
      <c r="B43" s="1" t="n">
        <v>43544</v>
      </c>
      <c r="C43" s="1" t="n">
        <v>45362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16065-2019</t>
        </is>
      </c>
      <c r="B44" s="1" t="n">
        <v>43544</v>
      </c>
      <c r="C44" s="1" t="n">
        <v>45362</v>
      </c>
      <c r="D44" t="inlineStr">
        <is>
          <t>VÄSTRA GÖTALANDS LÄN</t>
        </is>
      </c>
      <c r="E44" t="inlineStr">
        <is>
          <t>HÄRRYDA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18489-2019</t>
        </is>
      </c>
      <c r="B45" s="1" t="n">
        <v>43559</v>
      </c>
      <c r="C45" s="1" t="n">
        <v>45362</v>
      </c>
      <c r="D45" t="inlineStr">
        <is>
          <t>VÄSTRA GÖTALANDS LÄN</t>
        </is>
      </c>
      <c r="E45" t="inlineStr">
        <is>
          <t>HÄRRYDA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19200-2019</t>
        </is>
      </c>
      <c r="B46" s="1" t="n">
        <v>43564</v>
      </c>
      <c r="C46" s="1" t="n">
        <v>45362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19688-2019</t>
        </is>
      </c>
      <c r="B47" s="1" t="n">
        <v>43566</v>
      </c>
      <c r="C47" s="1" t="n">
        <v>45362</v>
      </c>
      <c r="D47" t="inlineStr">
        <is>
          <t>VÄSTRA GÖTALANDS LÄN</t>
        </is>
      </c>
      <c r="E47" t="inlineStr">
        <is>
          <t>HÄRRYDA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19826-2019</t>
        </is>
      </c>
      <c r="B48" s="1" t="n">
        <v>43567</v>
      </c>
      <c r="C48" s="1" t="n">
        <v>45362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20315-2019</t>
        </is>
      </c>
      <c r="B49" s="1" t="n">
        <v>43570</v>
      </c>
      <c r="C49" s="1" t="n">
        <v>45362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22530-2019</t>
        </is>
      </c>
      <c r="B50" s="1" t="n">
        <v>43587</v>
      </c>
      <c r="C50" s="1" t="n">
        <v>45362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22860-2019</t>
        </is>
      </c>
      <c r="B51" s="1" t="n">
        <v>43591</v>
      </c>
      <c r="C51" s="1" t="n">
        <v>45362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23408-2019</t>
        </is>
      </c>
      <c r="B52" s="1" t="n">
        <v>43593</v>
      </c>
      <c r="C52" s="1" t="n">
        <v>45362</v>
      </c>
      <c r="D52" t="inlineStr">
        <is>
          <t>VÄSTRA GÖTALANDS LÄN</t>
        </is>
      </c>
      <c r="E52" t="inlineStr">
        <is>
          <t>HÄRRYDA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23578-2019</t>
        </is>
      </c>
      <c r="B53" s="1" t="n">
        <v>43594</v>
      </c>
      <c r="C53" s="1" t="n">
        <v>45362</v>
      </c>
      <c r="D53" t="inlineStr">
        <is>
          <t>VÄSTRA GÖTALANDS LÄN</t>
        </is>
      </c>
      <c r="E53" t="inlineStr">
        <is>
          <t>HÄRRYDA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45362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45362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45362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45362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45362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45362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45362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45362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45362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45362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45362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45362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45362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45362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45362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45362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45362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45362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45362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45362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45362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45362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45362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45362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45362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45362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45362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45362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45362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45362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45362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45362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45362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45362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45362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45362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45362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45362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45362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45362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45362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45362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45362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45362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45362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45362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45362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45362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45362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45362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45362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45362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45362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45362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45362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45362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45362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45362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45362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45362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45362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45362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45362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45362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45362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45362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45362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45362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45362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45362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45362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45362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45362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45362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45362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45362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45362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45362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45362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45362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45362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45362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45362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45362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45362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45362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45362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45362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45362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45362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45362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45362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45362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45362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45362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45362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45362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45362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45362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45362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45362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45362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45362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45362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45362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45362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45362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45362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45362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45362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45362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45362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45362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45362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45362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45362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45362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45362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45362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45362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45362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45362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45362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45362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45362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45362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45362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45362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45362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45362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45362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45362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45362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45362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45362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45362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45362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45362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45362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45362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45362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45362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45362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45362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45362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45362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45362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45362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45362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45362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45362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45362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45362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45362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45362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45362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45362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45362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45362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45362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45362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45362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45362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45362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45362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45362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45362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45362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45362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45362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45362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45362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45362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45362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45362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45362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45362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5986-2024</t>
        </is>
      </c>
      <c r="B231" s="1" t="n">
        <v>45336</v>
      </c>
      <c r="C231" s="1" t="n">
        <v>45362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45362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6166-2024</t>
        </is>
      </c>
      <c r="B233" s="1" t="n">
        <v>45337</v>
      </c>
      <c r="C233" s="1" t="n">
        <v>45362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8779-2024</t>
        </is>
      </c>
      <c r="B234" s="1" t="n">
        <v>45356</v>
      </c>
      <c r="C234" s="1" t="n">
        <v>45362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8794-2024</t>
        </is>
      </c>
      <c r="B235" s="1" t="n">
        <v>45356</v>
      </c>
      <c r="C235" s="1" t="n">
        <v>45362</v>
      </c>
      <c r="D235" t="inlineStr">
        <is>
          <t>VÄSTRA GÖTALANDS LÄN</t>
        </is>
      </c>
      <c r="E235" t="inlineStr">
        <is>
          <t>HÄRRYDA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9511-2024</t>
        </is>
      </c>
      <c r="B236" s="1" t="n">
        <v>45359</v>
      </c>
      <c r="C236" s="1" t="n">
        <v>45362</v>
      </c>
      <c r="D236" t="inlineStr">
        <is>
          <t>VÄSTRA GÖTALANDS LÄN</t>
        </is>
      </c>
      <c r="E236" t="inlineStr">
        <is>
          <t>HÄRRYDA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2024-03-11T13:52:41Z</dcterms:created>
  <dcterms:modified xmlns:dcterms="http://purl.org/dc/terms/" xmlns:xsi="http://www.w3.org/2001/XMLSchema-instance" xsi:type="dcterms:W3CDTF">2024-03-11T13:52:41Z</dcterms:modified>
</cp:coreProperties>
</file>