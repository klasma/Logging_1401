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45588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45588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45588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45588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45588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45588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45588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45588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45588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45588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23578-2019</t>
        </is>
      </c>
      <c r="B12" s="1" t="n">
        <v>43594</v>
      </c>
      <c r="C12" s="1" t="n">
        <v>45588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HYPERLINK("https://klasma.github.io/Logging_1401/artfynd/A 23578-2019 artfynd.xlsx", "A 23578-2019")</f>
        <v/>
      </c>
      <c r="T12">
        <f>HYPERLINK("https://klasma.github.io/Logging_1401/kartor/A 23578-2019 karta.png", "A 23578-2019")</f>
        <v/>
      </c>
      <c r="V12">
        <f>HYPERLINK("https://klasma.github.io/Logging_1401/klagomål/A 23578-2019 FSC-klagomål.docx", "A 23578-2019")</f>
        <v/>
      </c>
      <c r="W12">
        <f>HYPERLINK("https://klasma.github.io/Logging_1401/klagomålsmail/A 23578-2019 FSC-klagomål mail.docx", "A 23578-2019")</f>
        <v/>
      </c>
      <c r="X12">
        <f>HYPERLINK("https://klasma.github.io/Logging_1401/tillsyn/A 23578-2019 tillsynsbegäran.docx", "A 23578-2019")</f>
        <v/>
      </c>
      <c r="Y12">
        <f>HYPERLINK("https://klasma.github.io/Logging_1401/tillsynsmail/A 23578-2019 tillsynsbegäran mail.docx", "A 23578-2019")</f>
        <v/>
      </c>
      <c r="Z12">
        <f>HYPERLINK("https://klasma.github.io/Logging_1401/fåglar/A 23578-2019 prioriterade fågelarter.docx", "A 23578-2019")</f>
        <v/>
      </c>
    </row>
    <row r="13" ht="15" customHeight="1">
      <c r="A13" t="inlineStr">
        <is>
          <t>A 52875-2019</t>
        </is>
      </c>
      <c r="B13" s="1" t="n">
        <v>43746</v>
      </c>
      <c r="C13" s="1" t="n">
        <v>45588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52875-2019 artfynd.xlsx", "A 52875-2019")</f>
        <v/>
      </c>
      <c r="T13">
        <f>HYPERLINK("https://klasma.github.io/Logging_1401/kartor/A 52875-2019 karta.png", "A 52875-2019")</f>
        <v/>
      </c>
      <c r="V13">
        <f>HYPERLINK("https://klasma.github.io/Logging_1401/klagomål/A 52875-2019 FSC-klagomål.docx", "A 52875-2019")</f>
        <v/>
      </c>
      <c r="W13">
        <f>HYPERLINK("https://klasma.github.io/Logging_1401/klagomålsmail/A 52875-2019 FSC-klagomål mail.docx", "A 52875-2019")</f>
        <v/>
      </c>
      <c r="X13">
        <f>HYPERLINK("https://klasma.github.io/Logging_1401/tillsyn/A 52875-2019 tillsynsbegäran.docx", "A 52875-2019")</f>
        <v/>
      </c>
      <c r="Y13">
        <f>HYPERLINK("https://klasma.github.io/Logging_1401/tillsynsmail/A 52875-2019 tillsynsbegäran mail.docx", "A 52875-2019")</f>
        <v/>
      </c>
      <c r="Z13">
        <f>HYPERLINK("https://klasma.github.io/Logging_1401/fåglar/A 52875-2019 prioriterade fågelarter.docx", "A 52875-2019")</f>
        <v/>
      </c>
    </row>
    <row r="14" ht="15" customHeight="1">
      <c r="A14" t="inlineStr">
        <is>
          <t>A 14791-2020</t>
        </is>
      </c>
      <c r="B14" s="1" t="n">
        <v>43909</v>
      </c>
      <c r="C14" s="1" t="n">
        <v>45588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HYPERLINK("https://klasma.github.io/Logging_1401/artfynd/A 14791-2020 artfynd.xlsx", "A 14791-2020")</f>
        <v/>
      </c>
      <c r="T14">
        <f>HYPERLINK("https://klasma.github.io/Logging_1401/kartor/A 14791-2020 karta.png", "A 14791-2020")</f>
        <v/>
      </c>
      <c r="V14">
        <f>HYPERLINK("https://klasma.github.io/Logging_1401/klagomål/A 14791-2020 FSC-klagomål.docx", "A 14791-2020")</f>
        <v/>
      </c>
      <c r="W14">
        <f>HYPERLINK("https://klasma.github.io/Logging_1401/klagomålsmail/A 14791-2020 FSC-klagomål mail.docx", "A 14791-2020")</f>
        <v/>
      </c>
      <c r="X14">
        <f>HYPERLINK("https://klasma.github.io/Logging_1401/tillsyn/A 14791-2020 tillsynsbegäran.docx", "A 14791-2020")</f>
        <v/>
      </c>
      <c r="Y14">
        <f>HYPERLINK("https://klasma.github.io/Logging_1401/tillsynsmail/A 14791-2020 tillsynsbegäran mail.docx", "A 14791-2020")</f>
        <v/>
      </c>
    </row>
    <row r="15" ht="15" customHeight="1">
      <c r="A15" t="inlineStr">
        <is>
          <t>A 18853-2020</t>
        </is>
      </c>
      <c r="B15" s="1" t="n">
        <v>43929</v>
      </c>
      <c r="C15" s="1" t="n">
        <v>45588</v>
      </c>
      <c r="D15" t="inlineStr">
        <is>
          <t>VÄSTRA GÖTALANDS LÄN</t>
        </is>
      </c>
      <c r="E15" t="inlineStr">
        <is>
          <t>HÄRRYDA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HYPERLINK("https://klasma.github.io/Logging_1401/artfynd/A 18853-2020 artfynd.xlsx", "A 18853-2020")</f>
        <v/>
      </c>
      <c r="T15">
        <f>HYPERLINK("https://klasma.github.io/Logging_1401/kartor/A 18853-2020 karta.png", "A 18853-2020")</f>
        <v/>
      </c>
      <c r="V15">
        <f>HYPERLINK("https://klasma.github.io/Logging_1401/klagomål/A 18853-2020 FSC-klagomål.docx", "A 18853-2020")</f>
        <v/>
      </c>
      <c r="W15">
        <f>HYPERLINK("https://klasma.github.io/Logging_1401/klagomålsmail/A 18853-2020 FSC-klagomål mail.docx", "A 18853-2020")</f>
        <v/>
      </c>
      <c r="X15">
        <f>HYPERLINK("https://klasma.github.io/Logging_1401/tillsyn/A 18853-2020 tillsynsbegäran.docx", "A 18853-2020")</f>
        <v/>
      </c>
      <c r="Y15">
        <f>HYPERLINK("https://klasma.github.io/Logging_1401/tillsynsmail/A 18853-2020 tillsynsbegäran mail.docx", "A 18853-2020")</f>
        <v/>
      </c>
    </row>
    <row r="16" ht="15" customHeight="1">
      <c r="A16" t="inlineStr">
        <is>
          <t>A 64734-2020</t>
        </is>
      </c>
      <c r="B16" s="1" t="n">
        <v>44169</v>
      </c>
      <c r="C16" s="1" t="n">
        <v>45588</v>
      </c>
      <c r="D16" t="inlineStr">
        <is>
          <t>VÄSTRA GÖTALANDS LÄN</t>
        </is>
      </c>
      <c r="E16" t="inlineStr">
        <is>
          <t>HÄRRYDA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HYPERLINK("https://klasma.github.io/Logging_1401/artfynd/A 64734-2020 artfynd.xlsx", "A 64734-2020")</f>
        <v/>
      </c>
      <c r="T16">
        <f>HYPERLINK("https://klasma.github.io/Logging_1401/kartor/A 64734-2020 karta.png", "A 64734-2020")</f>
        <v/>
      </c>
      <c r="V16">
        <f>HYPERLINK("https://klasma.github.io/Logging_1401/klagomål/A 64734-2020 FSC-klagomål.docx", "A 64734-2020")</f>
        <v/>
      </c>
      <c r="W16">
        <f>HYPERLINK("https://klasma.github.io/Logging_1401/klagomålsmail/A 64734-2020 FSC-klagomål mail.docx", "A 64734-2020")</f>
        <v/>
      </c>
      <c r="X16">
        <f>HYPERLINK("https://klasma.github.io/Logging_1401/tillsyn/A 64734-2020 tillsynsbegäran.docx", "A 64734-2020")</f>
        <v/>
      </c>
      <c r="Y16">
        <f>HYPERLINK("https://klasma.github.io/Logging_1401/tillsynsmail/A 64734-2020 tillsynsbegäran mail.docx", "A 64734-2020")</f>
        <v/>
      </c>
      <c r="Z16">
        <f>HYPERLINK("https://klasma.github.io/Logging_1401/fåglar/A 64734-2020 prioriterade fågelarter.docx", "A 64734-2020")</f>
        <v/>
      </c>
    </row>
    <row r="17" ht="15" customHeight="1">
      <c r="A17" t="inlineStr">
        <is>
          <t>A 7814-2021</t>
        </is>
      </c>
      <c r="B17" s="1" t="n">
        <v>44242</v>
      </c>
      <c r="C17" s="1" t="n">
        <v>45588</v>
      </c>
      <c r="D17" t="inlineStr">
        <is>
          <t>VÄSTRA GÖTALANDS LÄN</t>
        </is>
      </c>
      <c r="E17" t="inlineStr">
        <is>
          <t>HÄRRYDA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HYPERLINK("https://klasma.github.io/Logging_1401/artfynd/A 7814-2021 artfynd.xlsx", "A 7814-2021")</f>
        <v/>
      </c>
      <c r="T17">
        <f>HYPERLINK("https://klasma.github.io/Logging_1401/kartor/A 7814-2021 karta.png", "A 7814-2021")</f>
        <v/>
      </c>
      <c r="V17">
        <f>HYPERLINK("https://klasma.github.io/Logging_1401/klagomål/A 7814-2021 FSC-klagomål.docx", "A 7814-2021")</f>
        <v/>
      </c>
      <c r="W17">
        <f>HYPERLINK("https://klasma.github.io/Logging_1401/klagomålsmail/A 7814-2021 FSC-klagomål mail.docx", "A 7814-2021")</f>
        <v/>
      </c>
      <c r="X17">
        <f>HYPERLINK("https://klasma.github.io/Logging_1401/tillsyn/A 7814-2021 tillsynsbegäran.docx", "A 7814-2021")</f>
        <v/>
      </c>
      <c r="Y17">
        <f>HYPERLINK("https://klasma.github.io/Logging_1401/tillsynsmail/A 7814-2021 tillsynsbegäran mail.docx", "A 7814-2021")</f>
        <v/>
      </c>
    </row>
    <row r="18" ht="15" customHeight="1">
      <c r="A18" t="inlineStr">
        <is>
          <t>A 53203-2021</t>
        </is>
      </c>
      <c r="B18" s="1" t="n">
        <v>44468</v>
      </c>
      <c r="C18" s="1" t="n">
        <v>45588</v>
      </c>
      <c r="D18" t="inlineStr">
        <is>
          <t>VÄSTRA GÖTALANDS LÄN</t>
        </is>
      </c>
      <c r="E18" t="inlineStr">
        <is>
          <t>HÄRRYDA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HYPERLINK("https://klasma.github.io/Logging_1401/artfynd/A 53203-2021 artfynd.xlsx", "A 53203-2021")</f>
        <v/>
      </c>
      <c r="T18">
        <f>HYPERLINK("https://klasma.github.io/Logging_1401/kartor/A 53203-2021 karta.png", "A 53203-2021")</f>
        <v/>
      </c>
      <c r="V18">
        <f>HYPERLINK("https://klasma.github.io/Logging_1401/klagomål/A 53203-2021 FSC-klagomål.docx", "A 53203-2021")</f>
        <v/>
      </c>
      <c r="W18">
        <f>HYPERLINK("https://klasma.github.io/Logging_1401/klagomålsmail/A 53203-2021 FSC-klagomål mail.docx", "A 53203-2021")</f>
        <v/>
      </c>
      <c r="X18">
        <f>HYPERLINK("https://klasma.github.io/Logging_1401/tillsyn/A 53203-2021 tillsynsbegäran.docx", "A 53203-2021")</f>
        <v/>
      </c>
      <c r="Y18">
        <f>HYPERLINK("https://klasma.github.io/Logging_1401/tillsynsmail/A 53203-2021 tillsynsbegäran mail.docx", "A 53203-2021")</f>
        <v/>
      </c>
    </row>
    <row r="19" ht="15" customHeight="1">
      <c r="A19" t="inlineStr">
        <is>
          <t>A 64860-2021</t>
        </is>
      </c>
      <c r="B19" s="1" t="n">
        <v>44512</v>
      </c>
      <c r="C19" s="1" t="n">
        <v>45588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21.3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HYPERLINK("https://klasma.github.io/Logging_1401/artfynd/A 64860-2021 artfynd.xlsx", "A 64860-2021")</f>
        <v/>
      </c>
      <c r="T19">
        <f>HYPERLINK("https://klasma.github.io/Logging_1401/kartor/A 64860-2021 karta.png", "A 64860-2021")</f>
        <v/>
      </c>
      <c r="V19">
        <f>HYPERLINK("https://klasma.github.io/Logging_1401/klagomål/A 64860-2021 FSC-klagomål.docx", "A 64860-2021")</f>
        <v/>
      </c>
      <c r="W19">
        <f>HYPERLINK("https://klasma.github.io/Logging_1401/klagomålsmail/A 64860-2021 FSC-klagomål mail.docx", "A 64860-2021")</f>
        <v/>
      </c>
      <c r="X19">
        <f>HYPERLINK("https://klasma.github.io/Logging_1401/tillsyn/A 64860-2021 tillsynsbegäran.docx", "A 64860-2021")</f>
        <v/>
      </c>
      <c r="Y19">
        <f>HYPERLINK("https://klasma.github.io/Logging_1401/tillsynsmail/A 64860-2021 tillsynsbegäran mail.docx", "A 64860-2021")</f>
        <v/>
      </c>
    </row>
    <row r="20" ht="15" customHeight="1">
      <c r="A20" t="inlineStr">
        <is>
          <t>A 20640-2022</t>
        </is>
      </c>
      <c r="B20" s="1" t="n">
        <v>44700</v>
      </c>
      <c r="C20" s="1" t="n">
        <v>45588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20640-2022 artfynd.xlsx", "A 20640-2022")</f>
        <v/>
      </c>
      <c r="T20">
        <f>HYPERLINK("https://klasma.github.io/Logging_1401/kartor/A 20640-2022 karta.png", "A 20640-2022")</f>
        <v/>
      </c>
      <c r="V20">
        <f>HYPERLINK("https://klasma.github.io/Logging_1401/klagomål/A 20640-2022 FSC-klagomål.docx", "A 20640-2022")</f>
        <v/>
      </c>
      <c r="W20">
        <f>HYPERLINK("https://klasma.github.io/Logging_1401/klagomålsmail/A 20640-2022 FSC-klagomål mail.docx", "A 20640-2022")</f>
        <v/>
      </c>
      <c r="X20">
        <f>HYPERLINK("https://klasma.github.io/Logging_1401/tillsyn/A 20640-2022 tillsynsbegäran.docx", "A 20640-2022")</f>
        <v/>
      </c>
      <c r="Y20">
        <f>HYPERLINK("https://klasma.github.io/Logging_1401/tillsynsmail/A 20640-2022 tillsynsbegäran mail.docx", "A 20640-2022")</f>
        <v/>
      </c>
    </row>
    <row r="21" ht="15" customHeight="1">
      <c r="A21" t="inlineStr">
        <is>
          <t>A 16802-2023</t>
        </is>
      </c>
      <c r="B21" s="1" t="n">
        <v>45033</v>
      </c>
      <c r="C21" s="1" t="n">
        <v>45588</v>
      </c>
      <c r="D21" t="inlineStr">
        <is>
          <t>VÄSTRA GÖTALANDS LÄN</t>
        </is>
      </c>
      <c r="E21" t="inlineStr">
        <is>
          <t>HÄRRYDA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16802-2023 artfynd.xlsx", "A 16802-2023")</f>
        <v/>
      </c>
      <c r="T21">
        <f>HYPERLINK("https://klasma.github.io/Logging_1401/kartor/A 16802-2023 karta.png", "A 16802-2023")</f>
        <v/>
      </c>
      <c r="V21">
        <f>HYPERLINK("https://klasma.github.io/Logging_1401/klagomål/A 16802-2023 FSC-klagomål.docx", "A 16802-2023")</f>
        <v/>
      </c>
      <c r="W21">
        <f>HYPERLINK("https://klasma.github.io/Logging_1401/klagomålsmail/A 16802-2023 FSC-klagomål mail.docx", "A 16802-2023")</f>
        <v/>
      </c>
      <c r="X21">
        <f>HYPERLINK("https://klasma.github.io/Logging_1401/tillsyn/A 16802-2023 tillsynsbegäran.docx", "A 16802-2023")</f>
        <v/>
      </c>
      <c r="Y21">
        <f>HYPERLINK("https://klasma.github.io/Logging_1401/tillsynsmail/A 16802-2023 tillsynsbegäran mail.docx", "A 16802-2023")</f>
        <v/>
      </c>
      <c r="Z21">
        <f>HYPERLINK("https://klasma.github.io/Logging_1401/fåglar/A 16802-2023 prioriterade fågelarter.docx", "A 16802-2023")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45588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26330-2023</t>
        </is>
      </c>
      <c r="B23" s="1" t="n">
        <v>45091</v>
      </c>
      <c r="C23" s="1" t="n">
        <v>45588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26330-2023 artfynd.xlsx", "A 26330-2023")</f>
        <v/>
      </c>
      <c r="T23">
        <f>HYPERLINK("https://klasma.github.io/Logging_1401/kartor/A 26330-2023 karta.png", "A 26330-2023")</f>
        <v/>
      </c>
      <c r="V23">
        <f>HYPERLINK("https://klasma.github.io/Logging_1401/klagomål/A 26330-2023 FSC-klagomål.docx", "A 26330-2023")</f>
        <v/>
      </c>
      <c r="W23">
        <f>HYPERLINK("https://klasma.github.io/Logging_1401/klagomålsmail/A 26330-2023 FSC-klagomål mail.docx", "A 26330-2023")</f>
        <v/>
      </c>
      <c r="X23">
        <f>HYPERLINK("https://klasma.github.io/Logging_1401/tillsyn/A 26330-2023 tillsynsbegäran.docx", "A 26330-2023")</f>
        <v/>
      </c>
      <c r="Y23">
        <f>HYPERLINK("https://klasma.github.io/Logging_1401/tillsynsmail/A 26330-2023 tillsynsbegäran mail.docx", "A 26330-2023")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45588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45588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45588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45588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45588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45588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45588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45588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45588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45588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45588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45588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45588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45588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45588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45588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45588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45588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45588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45588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45588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45588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45588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45588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45588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45588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45588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45588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45588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45588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45588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45588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45588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45588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45588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45588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45588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45588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45588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45588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45588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45588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45588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45588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45588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45588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45588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45588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45588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45588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45588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45588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45588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45588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45588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45588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45588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45588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45588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45588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45588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45588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45588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45588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45588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45588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45588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45588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45588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45588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45588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45588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45588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45588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45588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45588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45588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45588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45588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45588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45588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45588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45588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45588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45588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45588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45588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45588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45588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45588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45588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45588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45588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45588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45588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45588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45588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45588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45588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45588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45588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45588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45588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45588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45588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45588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45588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45588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45588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45588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45588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45588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45588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45588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45588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45588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45588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45588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45588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45588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45588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45588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45588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45588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45588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45588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45588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45588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45588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45588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45588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45588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45588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45588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45588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45588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45588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45588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45588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45588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45588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45588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45588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45588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45588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45588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45588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45588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45588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45588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45588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45588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45588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45588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45588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45588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45588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45588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45588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45588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45588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45588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45588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45588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45588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45588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45588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45588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45588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45588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45588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45588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45588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45588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45588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45588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45588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45588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45588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45588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45588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45588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45588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45588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45588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45588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45588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45588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45588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45588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45588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45588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45588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45588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45588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45588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45588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45588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45588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45588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45588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45588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45588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45588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45588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45588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45588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45588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45588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45588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45588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45588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45588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45588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45588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41725-2024</t>
        </is>
      </c>
      <c r="B239" s="1" t="n">
        <v>45560</v>
      </c>
      <c r="C239" s="1" t="n">
        <v>45588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47313-2024</t>
        </is>
      </c>
      <c r="B240" s="1" t="n">
        <v>45587</v>
      </c>
      <c r="C240" s="1" t="n">
        <v>45588</v>
      </c>
      <c r="D240" t="inlineStr">
        <is>
          <t>VÄSTRA GÖTALANDS LÄN</t>
        </is>
      </c>
      <c r="E240" t="inlineStr">
        <is>
          <t>HÄRRYDA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47350-2024</t>
        </is>
      </c>
      <c r="B241" s="1" t="n">
        <v>45587</v>
      </c>
      <c r="C241" s="1" t="n">
        <v>45588</v>
      </c>
      <c r="D241" t="inlineStr">
        <is>
          <t>VÄSTRA GÖTALANDS LÄN</t>
        </is>
      </c>
      <c r="E241" t="inlineStr">
        <is>
          <t>HÄRRYDA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47334-2024</t>
        </is>
      </c>
      <c r="B242" s="1" t="n">
        <v>45587</v>
      </c>
      <c r="C242" s="1" t="n">
        <v>45588</v>
      </c>
      <c r="D242" t="inlineStr">
        <is>
          <t>VÄSTRA GÖTALANDS LÄN</t>
        </is>
      </c>
      <c r="E242" t="inlineStr">
        <is>
          <t>HÄRRYDA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45588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47375-2024</t>
        </is>
      </c>
      <c r="B244" s="1" t="n">
        <v>45587</v>
      </c>
      <c r="C244" s="1" t="n">
        <v>45588</v>
      </c>
      <c r="D244" t="inlineStr">
        <is>
          <t>VÄSTRA GÖTALANDS LÄN</t>
        </is>
      </c>
      <c r="E244" t="inlineStr">
        <is>
          <t>HÄRRYDA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2024-10-23T13:16:18Z</dcterms:created>
  <dcterms:modified xmlns:dcterms="http://purl.org/dc/terms/" xmlns:xsi="http://www.w3.org/2001/XMLSchema-instance" xsi:type="dcterms:W3CDTF">2024-10-23T13:16:19Z</dcterms:modified>
</cp:coreProperties>
</file>