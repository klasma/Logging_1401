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45684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45684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45684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45684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45684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29826-2023</t>
        </is>
      </c>
      <c r="B7" s="1" t="n">
        <v>45107</v>
      </c>
      <c r="C7" s="1" t="n">
        <v>45684</v>
      </c>
      <c r="D7" t="inlineStr">
        <is>
          <t>VÄSTRA GÖTALANDS LÄN</t>
        </is>
      </c>
      <c r="E7" t="inlineStr">
        <is>
          <t>HÄRRYDA</t>
        </is>
      </c>
      <c r="G7" t="n">
        <v>8.300000000000001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Skuggmossa
Kungsfågel</t>
        </is>
      </c>
      <c r="S7">
        <f>HYPERLINK("https://klasma.github.io/Logging_1401/artfynd/A 29826-2023 artfynd.xlsx", "A 29826-2023")</f>
        <v/>
      </c>
      <c r="T7">
        <f>HYPERLINK("https://klasma.github.io/Logging_1401/kartor/A 29826-2023 karta.png", "A 29826-2023")</f>
        <v/>
      </c>
      <c r="V7">
        <f>HYPERLINK("https://klasma.github.io/Logging_1401/klagomål/A 29826-2023 FSC-klagomål.docx", "A 29826-2023")</f>
        <v/>
      </c>
      <c r="W7">
        <f>HYPERLINK("https://klasma.github.io/Logging_1401/klagomålsmail/A 29826-2023 FSC-klagomål mail.docx", "A 29826-2023")</f>
        <v/>
      </c>
      <c r="X7">
        <f>HYPERLINK("https://klasma.github.io/Logging_1401/tillsyn/A 29826-2023 tillsynsbegäran.docx", "A 29826-2023")</f>
        <v/>
      </c>
      <c r="Y7">
        <f>HYPERLINK("https://klasma.github.io/Logging_1401/tillsynsmail/A 29826-2023 tillsynsbegäran mail.docx", "A 29826-2023")</f>
        <v/>
      </c>
      <c r="Z7">
        <f>HYPERLINK("https://klasma.github.io/Logging_1401/fåglar/A 29826-2023 prioriterade fågelarter.docx", "A 29826-2023")</f>
        <v/>
      </c>
    </row>
    <row r="8" ht="15" customHeight="1">
      <c r="A8" t="inlineStr">
        <is>
          <t>A 52061-2024</t>
        </is>
      </c>
      <c r="B8" s="1" t="n">
        <v>45608</v>
      </c>
      <c r="C8" s="1" t="n">
        <v>45684</v>
      </c>
      <c r="D8" t="inlineStr">
        <is>
          <t>VÄSTRA GÖTALANDS LÄN</t>
        </is>
      </c>
      <c r="E8" t="inlineStr">
        <is>
          <t>HÄRRYDA</t>
        </is>
      </c>
      <c r="G8" t="n">
        <v>8.1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Skuggmossa
Stor revmossa
Vågbandad barkbock</t>
        </is>
      </c>
      <c r="S8">
        <f>HYPERLINK("https://klasma.github.io/Logging_1401/artfynd/A 52061-2024 artfynd.xlsx", "A 52061-2024")</f>
        <v/>
      </c>
      <c r="T8">
        <f>HYPERLINK("https://klasma.github.io/Logging_1401/kartor/A 52061-2024 karta.png", "A 52061-2024")</f>
        <v/>
      </c>
      <c r="V8">
        <f>HYPERLINK("https://klasma.github.io/Logging_1401/klagomål/A 52061-2024 FSC-klagomål.docx", "A 52061-2024")</f>
        <v/>
      </c>
      <c r="W8">
        <f>HYPERLINK("https://klasma.github.io/Logging_1401/klagomålsmail/A 52061-2024 FSC-klagomål mail.docx", "A 52061-2024")</f>
        <v/>
      </c>
      <c r="X8">
        <f>HYPERLINK("https://klasma.github.io/Logging_1401/tillsyn/A 52061-2024 tillsynsbegäran.docx", "A 52061-2024")</f>
        <v/>
      </c>
      <c r="Y8">
        <f>HYPERLINK("https://klasma.github.io/Logging_1401/tillsynsmail/A 52061-2024 tillsynsbegäran mail.docx", "A 52061-2024")</f>
        <v/>
      </c>
    </row>
    <row r="9" ht="15" customHeight="1">
      <c r="A9" t="inlineStr">
        <is>
          <t>A 18975-2019</t>
        </is>
      </c>
      <c r="B9" s="1" t="n">
        <v>43563</v>
      </c>
      <c r="C9" s="1" t="n">
        <v>45684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Grönfink
Stare
Vanlig groda</t>
        </is>
      </c>
      <c r="S9">
        <f>HYPERLINK("https://klasma.github.io/Logging_1401/artfynd/A 18975-2019 artfynd.xlsx", "A 18975-2019")</f>
        <v/>
      </c>
      <c r="T9">
        <f>HYPERLINK("https://klasma.github.io/Logging_1401/kartor/A 18975-2019 karta.png", "A 18975-2019")</f>
        <v/>
      </c>
      <c r="V9">
        <f>HYPERLINK("https://klasma.github.io/Logging_1401/klagomål/A 18975-2019 FSC-klagomål.docx", "A 18975-2019")</f>
        <v/>
      </c>
      <c r="W9">
        <f>HYPERLINK("https://klasma.github.io/Logging_1401/klagomålsmail/A 18975-2019 FSC-klagomål mail.docx", "A 18975-2019")</f>
        <v/>
      </c>
      <c r="X9">
        <f>HYPERLINK("https://klasma.github.io/Logging_1401/tillsyn/A 18975-2019 tillsynsbegäran.docx", "A 18975-2019")</f>
        <v/>
      </c>
      <c r="Y9">
        <f>HYPERLINK("https://klasma.github.io/Logging_1401/tillsynsmail/A 18975-2019 tillsynsbegäran mail.docx", "A 18975-2019")</f>
        <v/>
      </c>
      <c r="Z9">
        <f>HYPERLINK("https://klasma.github.io/Logging_1401/fåglar/A 18975-2019 prioriterade fågelarter.docx", "A 18975-2019")</f>
        <v/>
      </c>
    </row>
    <row r="10" ht="15" customHeight="1">
      <c r="A10" t="inlineStr">
        <is>
          <t>A 19823-2019</t>
        </is>
      </c>
      <c r="B10" s="1" t="n">
        <v>43567</v>
      </c>
      <c r="C10" s="1" t="n">
        <v>45684</v>
      </c>
      <c r="D10" t="inlineStr">
        <is>
          <t>VÄSTRA GÖTALANDS LÄN</t>
        </is>
      </c>
      <c r="E10" t="inlineStr">
        <is>
          <t>HÄRRYDA</t>
        </is>
      </c>
      <c r="G10" t="n">
        <v>1.8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Åkergroda
Vanlig padda</t>
        </is>
      </c>
      <c r="S10">
        <f>HYPERLINK("https://klasma.github.io/Logging_1401/artfynd/A 19823-2019 artfynd.xlsx", "A 19823-2019")</f>
        <v/>
      </c>
      <c r="T10">
        <f>HYPERLINK("https://klasma.github.io/Logging_1401/kartor/A 19823-2019 karta.png", "A 19823-2019")</f>
        <v/>
      </c>
      <c r="V10">
        <f>HYPERLINK("https://klasma.github.io/Logging_1401/klagomål/A 19823-2019 FSC-klagomål.docx", "A 19823-2019")</f>
        <v/>
      </c>
      <c r="W10">
        <f>HYPERLINK("https://klasma.github.io/Logging_1401/klagomålsmail/A 19823-2019 FSC-klagomål mail.docx", "A 19823-2019")</f>
        <v/>
      </c>
      <c r="X10">
        <f>HYPERLINK("https://klasma.github.io/Logging_1401/tillsyn/A 19823-2019 tillsynsbegäran.docx", "A 19823-2019")</f>
        <v/>
      </c>
      <c r="Y10">
        <f>HYPERLINK("https://klasma.github.io/Logging_1401/tillsynsmail/A 19823-2019 tillsynsbegäran mail.docx", "A 19823-2019")</f>
        <v/>
      </c>
    </row>
    <row r="11" ht="15" customHeight="1">
      <c r="A11" t="inlineStr">
        <is>
          <t>A 59467-2020</t>
        </is>
      </c>
      <c r="B11" s="1" t="n">
        <v>44148</v>
      </c>
      <c r="C11" s="1" t="n">
        <v>45684</v>
      </c>
      <c r="D11" t="inlineStr">
        <is>
          <t>VÄSTRA GÖTALANDS LÄN</t>
        </is>
      </c>
      <c r="E11" t="inlineStr">
        <is>
          <t>HÄRRYDA</t>
        </is>
      </c>
      <c r="G11" t="n">
        <v>3.8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Kungsfågel
Nattskärra
Vanlig groda</t>
        </is>
      </c>
      <c r="S11">
        <f>HYPERLINK("https://klasma.github.io/Logging_1401/artfynd/A 59467-2020 artfynd.xlsx", "A 59467-2020")</f>
        <v/>
      </c>
      <c r="T11">
        <f>HYPERLINK("https://klasma.github.io/Logging_1401/kartor/A 59467-2020 karta.png", "A 59467-2020")</f>
        <v/>
      </c>
      <c r="V11">
        <f>HYPERLINK("https://klasma.github.io/Logging_1401/klagomål/A 59467-2020 FSC-klagomål.docx", "A 59467-2020")</f>
        <v/>
      </c>
      <c r="W11">
        <f>HYPERLINK("https://klasma.github.io/Logging_1401/klagomålsmail/A 59467-2020 FSC-klagomål mail.docx", "A 59467-2020")</f>
        <v/>
      </c>
      <c r="X11">
        <f>HYPERLINK("https://klasma.github.io/Logging_1401/tillsyn/A 59467-2020 tillsynsbegäran.docx", "A 59467-2020")</f>
        <v/>
      </c>
      <c r="Y11">
        <f>HYPERLINK("https://klasma.github.io/Logging_1401/tillsynsmail/A 59467-2020 tillsynsbegäran mail.docx", "A 59467-2020")</f>
        <v/>
      </c>
      <c r="Z11">
        <f>HYPERLINK("https://klasma.github.io/Logging_1401/fåglar/A 59467-2020 prioriterade fågelarter.docx", "A 59467-2020")</f>
        <v/>
      </c>
    </row>
    <row r="12" ht="15" customHeight="1">
      <c r="A12" t="inlineStr">
        <is>
          <t>A 25441-2022</t>
        </is>
      </c>
      <c r="B12" s="1" t="n">
        <v>44732</v>
      </c>
      <c r="C12" s="1" t="n">
        <v>45684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Svartvit flugsnappare
Vanlig groda</t>
        </is>
      </c>
      <c r="S12">
        <f>HYPERLINK("https://klasma.github.io/Logging_1401/artfynd/A 25441-2022 artfynd.xlsx", "A 25441-2022")</f>
        <v/>
      </c>
      <c r="T12">
        <f>HYPERLINK("https://klasma.github.io/Logging_1401/kartor/A 25441-2022 karta.png", "A 25441-2022")</f>
        <v/>
      </c>
      <c r="V12">
        <f>HYPERLINK("https://klasma.github.io/Logging_1401/klagomål/A 25441-2022 FSC-klagomål.docx", "A 25441-2022")</f>
        <v/>
      </c>
      <c r="W12">
        <f>HYPERLINK("https://klasma.github.io/Logging_1401/klagomålsmail/A 25441-2022 FSC-klagomål mail.docx", "A 25441-2022")</f>
        <v/>
      </c>
      <c r="X12">
        <f>HYPERLINK("https://klasma.github.io/Logging_1401/tillsyn/A 25441-2022 tillsynsbegäran.docx", "A 25441-2022")</f>
        <v/>
      </c>
      <c r="Y12">
        <f>HYPERLINK("https://klasma.github.io/Logging_1401/tillsynsmail/A 25441-2022 tillsynsbegäran mail.docx", "A 25441-2022")</f>
        <v/>
      </c>
      <c r="Z12">
        <f>HYPERLINK("https://klasma.github.io/Logging_1401/fåglar/A 25441-2022 prioriterade fågelarter.docx", "A 25441-2022")</f>
        <v/>
      </c>
    </row>
    <row r="13" ht="15" customHeight="1">
      <c r="A13" t="inlineStr">
        <is>
          <t>A 16723-2023</t>
        </is>
      </c>
      <c r="B13" s="1" t="n">
        <v>45030</v>
      </c>
      <c r="C13" s="1" t="n">
        <v>45684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Blåmossa
Kornknutmossa</t>
        </is>
      </c>
      <c r="S13">
        <f>HYPERLINK("https://klasma.github.io/Logging_1401/artfynd/A 16723-2023 artfynd.xlsx", "A 16723-2023")</f>
        <v/>
      </c>
      <c r="T13">
        <f>HYPERLINK("https://klasma.github.io/Logging_1401/kartor/A 16723-2023 karta.png", "A 16723-2023")</f>
        <v/>
      </c>
      <c r="V13">
        <f>HYPERLINK("https://klasma.github.io/Logging_1401/klagomål/A 16723-2023 FSC-klagomål.docx", "A 16723-2023")</f>
        <v/>
      </c>
      <c r="W13">
        <f>HYPERLINK("https://klasma.github.io/Logging_1401/klagomålsmail/A 16723-2023 FSC-klagomål mail.docx", "A 16723-2023")</f>
        <v/>
      </c>
      <c r="X13">
        <f>HYPERLINK("https://klasma.github.io/Logging_1401/tillsyn/A 16723-2023 tillsynsbegäran.docx", "A 16723-2023")</f>
        <v/>
      </c>
      <c r="Y13">
        <f>HYPERLINK("https://klasma.github.io/Logging_1401/tillsynsmail/A 16723-2023 tillsynsbegäran mail.docx", "A 16723-2023")</f>
        <v/>
      </c>
      <c r="Z13">
        <f>HYPERLINK("https://klasma.github.io/Logging_1401/fåglar/A 16723-2023 prioriterade fågelarter.docx", "A 16723-2023")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45684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45684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45684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45684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45684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45684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45684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45684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45684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45684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45684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45684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45684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45684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45684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45684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45684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45684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45684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45684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45684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45684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45684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45684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45684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45684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45684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45684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45684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45684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45684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45684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45684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45684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45684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45684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45684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45684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45684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45684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45684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45684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45684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45684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45684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45684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45684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45684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45684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45684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45684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45684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45684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45684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45684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45684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45684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45684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45684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45684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45684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45684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45684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45684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45684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45684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45684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45684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45684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45684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45684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45684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45684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45684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45684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45684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45684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45684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45684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45684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45684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45684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45684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45684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45684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45684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45684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45684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45684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45684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45684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45684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45684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45684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45684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45684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45684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45684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45684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45684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45684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45684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45684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45684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45684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45684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45684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45684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45684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45684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45684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45684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45684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45684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45684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45684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45684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45684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45684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45684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45684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45684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45684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45684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45684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45684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45684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45684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45684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45684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45684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45684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45684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45684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45684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45684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45684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45684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45684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45684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45684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45684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45684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45684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45684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45684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45684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45684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45684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45684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45684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45684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45684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45684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45684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45684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45684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45684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45684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45684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45684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45684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45684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45684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45684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45684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45684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45684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45684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45684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45684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45684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45684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45684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45684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45684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45684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45684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45684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45684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45684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45684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45684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45684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45684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45684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45684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45684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45684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45684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45684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45684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45684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45684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45684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45684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45684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45684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45684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45684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45684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45684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45684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45684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45684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45684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45684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45684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45684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45684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45684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45684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45684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45684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45684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45684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45684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45684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45684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45684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45684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45684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45684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45684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45684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45684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45684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45684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45684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45684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45684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45684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45684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45684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45684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45684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45684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45684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3413-2025</t>
        </is>
      </c>
      <c r="B256" s="1" t="n">
        <v>45680</v>
      </c>
      <c r="C256" s="1" t="n">
        <v>45684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2025-01-27T16:32:04Z</dcterms:created>
  <dcterms:modified xmlns:dcterms="http://purl.org/dc/terms/" xmlns:xsi="http://www.w3.org/2001/XMLSchema-instance" xsi:type="dcterms:W3CDTF">2025-01-27T16:32:04Z</dcterms:modified>
</cp:coreProperties>
</file>