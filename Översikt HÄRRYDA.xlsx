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45264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45264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45264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12618-2021</t>
        </is>
      </c>
      <c r="B5" s="1" t="n">
        <v>44270</v>
      </c>
      <c r="C5" s="1" t="n">
        <v>45264</v>
      </c>
      <c r="D5" t="inlineStr">
        <is>
          <t>VÄSTRA GÖTALANDS LÄN</t>
        </is>
      </c>
      <c r="E5" t="inlineStr">
        <is>
          <t>HÄRRYDA</t>
        </is>
      </c>
      <c r="G5" t="n">
        <v>8.699999999999999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Kattfotslav</t>
        </is>
      </c>
      <c r="S5">
        <f>HYPERLINK("https://klasma.github.io/Logging_1401/artfynd/A 12618-2021 artfynd.xlsx", "A 12618-2021")</f>
        <v/>
      </c>
      <c r="T5">
        <f>HYPERLINK("https://klasma.github.io/Logging_1401/kartor/A 12618-2021 karta.png", "A 12618-2021")</f>
        <v/>
      </c>
      <c r="V5">
        <f>HYPERLINK("https://klasma.github.io/Logging_1401/klagomål/A 12618-2021 FSC-klagomål.docx", "A 12618-2021")</f>
        <v/>
      </c>
      <c r="W5">
        <f>HYPERLINK("https://klasma.github.io/Logging_1401/klagomålsmail/A 12618-2021 FSC-klagomål mail.docx", "A 12618-2021")</f>
        <v/>
      </c>
      <c r="X5">
        <f>HYPERLINK("https://klasma.github.io/Logging_1401/tillsyn/A 12618-2021 tillsynsbegäran.docx", "A 12618-2021")</f>
        <v/>
      </c>
      <c r="Y5">
        <f>HYPERLINK("https://klasma.github.io/Logging_1401/tillsynsmail/A 12618-2021 tillsynsbegäran mail.docx", "A 12618-2021")</f>
        <v/>
      </c>
    </row>
    <row r="6" ht="15" customHeight="1">
      <c r="A6" t="inlineStr">
        <is>
          <t>A 42060-2018</t>
        </is>
      </c>
      <c r="B6" s="1" t="n">
        <v>43353</v>
      </c>
      <c r="C6" s="1" t="n">
        <v>45264</v>
      </c>
      <c r="D6" t="inlineStr">
        <is>
          <t>VÄSTRA GÖTALANDS LÄN</t>
        </is>
      </c>
      <c r="E6" t="inlineStr">
        <is>
          <t>HÄRRYDA</t>
        </is>
      </c>
      <c r="G6" t="n">
        <v>6.5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HYPERLINK("https://klasma.github.io/Logging_1401/artfynd/A 42060-2018 artfynd.xlsx", "A 42060-2018")</f>
        <v/>
      </c>
      <c r="T6">
        <f>HYPERLINK("https://klasma.github.io/Logging_1401/kartor/A 42060-2018 karta.png", "A 42060-2018")</f>
        <v/>
      </c>
      <c r="V6">
        <f>HYPERLINK("https://klasma.github.io/Logging_1401/klagomål/A 42060-2018 FSC-klagomål.docx", "A 42060-2018")</f>
        <v/>
      </c>
      <c r="W6">
        <f>HYPERLINK("https://klasma.github.io/Logging_1401/klagomålsmail/A 42060-2018 FSC-klagomål mail.docx", "A 42060-2018")</f>
        <v/>
      </c>
      <c r="X6">
        <f>HYPERLINK("https://klasma.github.io/Logging_1401/tillsyn/A 42060-2018 tillsynsbegäran.docx", "A 42060-2018")</f>
        <v/>
      </c>
      <c r="Y6">
        <f>HYPERLINK("https://klasma.github.io/Logging_1401/tillsynsmail/A 42060-2018 tillsynsbegäran mail.docx", "A 42060-2018")</f>
        <v/>
      </c>
    </row>
    <row r="7" ht="15" customHeight="1">
      <c r="A7" t="inlineStr">
        <is>
          <t>A 52875-2019</t>
        </is>
      </c>
      <c r="B7" s="1" t="n">
        <v>43746</v>
      </c>
      <c r="C7" s="1" t="n">
        <v>45264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6.2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52875-2019 artfynd.xlsx", "A 52875-2019")</f>
        <v/>
      </c>
      <c r="T7">
        <f>HYPERLINK("https://klasma.github.io/Logging_1401/kartor/A 52875-2019 karta.png", "A 52875-2019")</f>
        <v/>
      </c>
      <c r="V7">
        <f>HYPERLINK("https://klasma.github.io/Logging_1401/klagomål/A 52875-2019 FSC-klagomål.docx", "A 52875-2019")</f>
        <v/>
      </c>
      <c r="W7">
        <f>HYPERLINK("https://klasma.github.io/Logging_1401/klagomålsmail/A 52875-2019 FSC-klagomål mail.docx", "A 52875-2019")</f>
        <v/>
      </c>
      <c r="X7">
        <f>HYPERLINK("https://klasma.github.io/Logging_1401/tillsyn/A 52875-2019 tillsynsbegäran.docx", "A 52875-2019")</f>
        <v/>
      </c>
      <c r="Y7">
        <f>HYPERLINK("https://klasma.github.io/Logging_1401/tillsynsmail/A 52875-2019 tillsynsbegäran mail.docx", "A 52875-2019")</f>
        <v/>
      </c>
    </row>
    <row r="8" ht="15" customHeight="1">
      <c r="A8" t="inlineStr">
        <is>
          <t>A 14791-2020</t>
        </is>
      </c>
      <c r="B8" s="1" t="n">
        <v>43909</v>
      </c>
      <c r="C8" s="1" t="n">
        <v>45264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HYPERLINK("https://klasma.github.io/Logging_1401/artfynd/A 14791-2020 artfynd.xlsx", "A 14791-2020")</f>
        <v/>
      </c>
      <c r="T8">
        <f>HYPERLINK("https://klasma.github.io/Logging_1401/kartor/A 14791-2020 karta.png", "A 14791-2020")</f>
        <v/>
      </c>
      <c r="V8">
        <f>HYPERLINK("https://klasma.github.io/Logging_1401/klagomål/A 14791-2020 FSC-klagomål.docx", "A 14791-2020")</f>
        <v/>
      </c>
      <c r="W8">
        <f>HYPERLINK("https://klasma.github.io/Logging_1401/klagomålsmail/A 14791-2020 FSC-klagomål mail.docx", "A 14791-2020")</f>
        <v/>
      </c>
      <c r="X8">
        <f>HYPERLINK("https://klasma.github.io/Logging_1401/tillsyn/A 14791-2020 tillsynsbegäran.docx", "A 14791-2020")</f>
        <v/>
      </c>
      <c r="Y8">
        <f>HYPERLINK("https://klasma.github.io/Logging_1401/tillsynsmail/A 14791-2020 tillsynsbegäran mail.docx", "A 14791-2020")</f>
        <v/>
      </c>
    </row>
    <row r="9" ht="15" customHeight="1">
      <c r="A9" t="inlineStr">
        <is>
          <t>A 18853-2020</t>
        </is>
      </c>
      <c r="B9" s="1" t="n">
        <v>43929</v>
      </c>
      <c r="C9" s="1" t="n">
        <v>45264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HYPERLINK("https://klasma.github.io/Logging_1401/artfynd/A 18853-2020 artfynd.xlsx", "A 18853-2020")</f>
        <v/>
      </c>
      <c r="T9">
        <f>HYPERLINK("https://klasma.github.io/Logging_1401/kartor/A 18853-2020 karta.png", "A 18853-2020")</f>
        <v/>
      </c>
      <c r="V9">
        <f>HYPERLINK("https://klasma.github.io/Logging_1401/klagomål/A 18853-2020 FSC-klagomål.docx", "A 18853-2020")</f>
        <v/>
      </c>
      <c r="W9">
        <f>HYPERLINK("https://klasma.github.io/Logging_1401/klagomålsmail/A 18853-2020 FSC-klagomål mail.docx", "A 18853-2020")</f>
        <v/>
      </c>
      <c r="X9">
        <f>HYPERLINK("https://klasma.github.io/Logging_1401/tillsyn/A 18853-2020 tillsynsbegäran.docx", "A 18853-2020")</f>
        <v/>
      </c>
      <c r="Y9">
        <f>HYPERLINK("https://klasma.github.io/Logging_1401/tillsynsmail/A 18853-2020 tillsynsbegäran mail.docx", "A 18853-2020")</f>
        <v/>
      </c>
    </row>
    <row r="10" ht="15" customHeight="1">
      <c r="A10" t="inlineStr">
        <is>
          <t>A 64734-2020</t>
        </is>
      </c>
      <c r="B10" s="1" t="n">
        <v>44169</v>
      </c>
      <c r="C10" s="1" t="n">
        <v>45264</v>
      </c>
      <c r="D10" t="inlineStr">
        <is>
          <t>VÄSTRA GÖTALANDS LÄN</t>
        </is>
      </c>
      <c r="E10" t="inlineStr">
        <is>
          <t>HÄRRYDA</t>
        </is>
      </c>
      <c r="G10" t="n">
        <v>4.1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HYPERLINK("https://klasma.github.io/Logging_1401/artfynd/A 64734-2020 artfynd.xlsx", "A 64734-2020")</f>
        <v/>
      </c>
      <c r="T10">
        <f>HYPERLINK("https://klasma.github.io/Logging_1401/kartor/A 64734-2020 karta.png", "A 64734-2020")</f>
        <v/>
      </c>
      <c r="V10">
        <f>HYPERLINK("https://klasma.github.io/Logging_1401/klagomål/A 64734-2020 FSC-klagomål.docx", "A 64734-2020")</f>
        <v/>
      </c>
      <c r="W10">
        <f>HYPERLINK("https://klasma.github.io/Logging_1401/klagomålsmail/A 64734-2020 FSC-klagomål mail.docx", "A 64734-2020")</f>
        <v/>
      </c>
      <c r="X10">
        <f>HYPERLINK("https://klasma.github.io/Logging_1401/tillsyn/A 64734-2020 tillsynsbegäran.docx", "A 64734-2020")</f>
        <v/>
      </c>
      <c r="Y10">
        <f>HYPERLINK("https://klasma.github.io/Logging_1401/tillsynsmail/A 64734-2020 tillsynsbegäran mail.docx", "A 64734-2020")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45264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53203-2021</t>
        </is>
      </c>
      <c r="B12" s="1" t="n">
        <v>44468</v>
      </c>
      <c r="C12" s="1" t="n">
        <v>45264</v>
      </c>
      <c r="D12" t="inlineStr">
        <is>
          <t>VÄSTRA GÖTALANDS LÄN</t>
        </is>
      </c>
      <c r="E12" t="inlineStr">
        <is>
          <t>HÄRRYDA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HYPERLINK("https://klasma.github.io/Logging_1401/artfynd/A 53203-2021 artfynd.xlsx", "A 53203-2021")</f>
        <v/>
      </c>
      <c r="T12">
        <f>HYPERLINK("https://klasma.github.io/Logging_1401/kartor/A 53203-2021 karta.png", "A 53203-2021")</f>
        <v/>
      </c>
      <c r="V12">
        <f>HYPERLINK("https://klasma.github.io/Logging_1401/klagomål/A 53203-2021 FSC-klagomål.docx", "A 53203-2021")</f>
        <v/>
      </c>
      <c r="W12">
        <f>HYPERLINK("https://klasma.github.io/Logging_1401/klagomålsmail/A 53203-2021 FSC-klagomål mail.docx", "A 53203-2021")</f>
        <v/>
      </c>
      <c r="X12">
        <f>HYPERLINK("https://klasma.github.io/Logging_1401/tillsyn/A 53203-2021 tillsynsbegäran.docx", "A 53203-2021")</f>
        <v/>
      </c>
      <c r="Y12">
        <f>HYPERLINK("https://klasma.github.io/Logging_1401/tillsynsmail/A 53203-2021 tillsynsbegäran mail.docx", "A 53203-2021")</f>
        <v/>
      </c>
    </row>
    <row r="13" ht="15" customHeight="1">
      <c r="A13" t="inlineStr">
        <is>
          <t>A 64860-2021</t>
        </is>
      </c>
      <c r="B13" s="1" t="n">
        <v>44512</v>
      </c>
      <c r="C13" s="1" t="n">
        <v>45264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21.3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HYPERLINK("https://klasma.github.io/Logging_1401/artfynd/A 64860-2021 artfynd.xlsx", "A 64860-2021")</f>
        <v/>
      </c>
      <c r="T13">
        <f>HYPERLINK("https://klasma.github.io/Logging_1401/kartor/A 64860-2021 karta.png", "A 64860-2021")</f>
        <v/>
      </c>
      <c r="V13">
        <f>HYPERLINK("https://klasma.github.io/Logging_1401/klagomål/A 64860-2021 FSC-klagomål.docx", "A 64860-2021")</f>
        <v/>
      </c>
      <c r="W13">
        <f>HYPERLINK("https://klasma.github.io/Logging_1401/klagomålsmail/A 64860-2021 FSC-klagomål mail.docx", "A 64860-2021")</f>
        <v/>
      </c>
      <c r="X13">
        <f>HYPERLINK("https://klasma.github.io/Logging_1401/tillsyn/A 64860-2021 tillsynsbegäran.docx", "A 64860-2021")</f>
        <v/>
      </c>
      <c r="Y13">
        <f>HYPERLINK("https://klasma.github.io/Logging_1401/tillsynsmail/A 64860-2021 tillsynsbegäran mail.docx", "A 64860-2021")</f>
        <v/>
      </c>
    </row>
    <row r="14" ht="15" customHeight="1">
      <c r="A14" t="inlineStr">
        <is>
          <t>A 20640-2022</t>
        </is>
      </c>
      <c r="B14" s="1" t="n">
        <v>44700</v>
      </c>
      <c r="C14" s="1" t="n">
        <v>45264</v>
      </c>
      <c r="D14" t="inlineStr">
        <is>
          <t>VÄSTRA GÖTALANDS LÄN</t>
        </is>
      </c>
      <c r="E14" t="inlineStr">
        <is>
          <t>HÄRRYDA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20640-2022 artfynd.xlsx", "A 20640-2022")</f>
        <v/>
      </c>
      <c r="T14">
        <f>HYPERLINK("https://klasma.github.io/Logging_1401/kartor/A 20640-2022 karta.png", "A 20640-2022")</f>
        <v/>
      </c>
      <c r="V14">
        <f>HYPERLINK("https://klasma.github.io/Logging_1401/klagomål/A 20640-2022 FSC-klagomål.docx", "A 20640-2022")</f>
        <v/>
      </c>
      <c r="W14">
        <f>HYPERLINK("https://klasma.github.io/Logging_1401/klagomålsmail/A 20640-2022 FSC-klagomål mail.docx", "A 20640-2022")</f>
        <v/>
      </c>
      <c r="X14">
        <f>HYPERLINK("https://klasma.github.io/Logging_1401/tillsyn/A 20640-2022 tillsynsbegäran.docx", "A 20640-2022")</f>
        <v/>
      </c>
      <c r="Y14">
        <f>HYPERLINK("https://klasma.github.io/Logging_1401/tillsynsmail/A 20640-2022 tillsynsbegäran mail.docx", "A 20640-2022")</f>
        <v/>
      </c>
    </row>
    <row r="15" ht="15" customHeight="1">
      <c r="A15" t="inlineStr">
        <is>
          <t>A 16802-2023</t>
        </is>
      </c>
      <c r="B15" s="1" t="n">
        <v>45033</v>
      </c>
      <c r="C15" s="1" t="n">
        <v>45264</v>
      </c>
      <c r="D15" t="inlineStr">
        <is>
          <t>VÄSTRA GÖTALANDS LÄN</t>
        </is>
      </c>
      <c r="E15" t="inlineStr">
        <is>
          <t>HÄRRYDA</t>
        </is>
      </c>
      <c r="G15" t="n">
        <v>6.5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HYPERLINK("https://klasma.github.io/Logging_1401/artfynd/A 16802-2023 artfynd.xlsx", "A 16802-2023")</f>
        <v/>
      </c>
      <c r="T15">
        <f>HYPERLINK("https://klasma.github.io/Logging_1401/kartor/A 16802-2023 karta.png", "A 16802-2023")</f>
        <v/>
      </c>
      <c r="V15">
        <f>HYPERLINK("https://klasma.github.io/Logging_1401/klagomål/A 16802-2023 FSC-klagomål.docx", "A 16802-2023")</f>
        <v/>
      </c>
      <c r="W15">
        <f>HYPERLINK("https://klasma.github.io/Logging_1401/klagomålsmail/A 16802-2023 FSC-klagomål mail.docx", "A 16802-2023")</f>
        <v/>
      </c>
      <c r="X15">
        <f>HYPERLINK("https://klasma.github.io/Logging_1401/tillsyn/A 16802-2023 tillsynsbegäran.docx", "A 16802-2023")</f>
        <v/>
      </c>
      <c r="Y15">
        <f>HYPERLINK("https://klasma.github.io/Logging_1401/tillsynsmail/A 16802-2023 tillsynsbegäran mail.docx", "A 16802-2023")</f>
        <v/>
      </c>
    </row>
    <row r="16" ht="15" customHeight="1">
      <c r="A16" t="inlineStr">
        <is>
          <t>A 21101-2023</t>
        </is>
      </c>
      <c r="B16" s="1" t="n">
        <v>45061</v>
      </c>
      <c r="C16" s="1" t="n">
        <v>45264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Åkergroda</t>
        </is>
      </c>
      <c r="S16">
        <f>HYPERLINK("https://klasma.github.io/Logging_1401/artfynd/A 21101-2023 artfynd.xlsx", "A 21101-2023")</f>
        <v/>
      </c>
      <c r="T16">
        <f>HYPERLINK("https://klasma.github.io/Logging_1401/kartor/A 21101-2023 karta.png", "A 21101-2023")</f>
        <v/>
      </c>
      <c r="V16">
        <f>HYPERLINK("https://klasma.github.io/Logging_1401/klagomål/A 21101-2023 FSC-klagomål.docx", "A 21101-2023")</f>
        <v/>
      </c>
      <c r="W16">
        <f>HYPERLINK("https://klasma.github.io/Logging_1401/klagomålsmail/A 21101-2023 FSC-klagomål mail.docx", "A 21101-2023")</f>
        <v/>
      </c>
      <c r="X16">
        <f>HYPERLINK("https://klasma.github.io/Logging_1401/tillsyn/A 21101-2023 tillsynsbegäran.docx", "A 21101-2023")</f>
        <v/>
      </c>
      <c r="Y16">
        <f>HYPERLINK("https://klasma.github.io/Logging_1401/tillsynsmail/A 21101-2023 tillsynsbegäran mail.docx", "A 21101-2023")</f>
        <v/>
      </c>
    </row>
    <row r="17" ht="15" customHeight="1">
      <c r="A17" t="inlineStr">
        <is>
          <t>A 26330-2023</t>
        </is>
      </c>
      <c r="B17" s="1" t="n">
        <v>45091</v>
      </c>
      <c r="C17" s="1" t="n">
        <v>45264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HYPERLINK("https://klasma.github.io/Logging_1401/artfynd/A 26330-2023 artfynd.xlsx", "A 26330-2023")</f>
        <v/>
      </c>
      <c r="T17">
        <f>HYPERLINK("https://klasma.github.io/Logging_1401/kartor/A 26330-2023 karta.png", "A 26330-2023")</f>
        <v/>
      </c>
      <c r="V17">
        <f>HYPERLINK("https://klasma.github.io/Logging_1401/klagomål/A 26330-2023 FSC-klagomål.docx", "A 26330-2023")</f>
        <v/>
      </c>
      <c r="W17">
        <f>HYPERLINK("https://klasma.github.io/Logging_1401/klagomålsmail/A 26330-2023 FSC-klagomål mail.docx", "A 26330-2023")</f>
        <v/>
      </c>
      <c r="X17">
        <f>HYPERLINK("https://klasma.github.io/Logging_1401/tillsyn/A 26330-2023 tillsynsbegäran.docx", "A 26330-2023")</f>
        <v/>
      </c>
      <c r="Y17">
        <f>HYPERLINK("https://klasma.github.io/Logging_1401/tillsynsmail/A 26330-2023 tillsynsbegäran mail.docx", "A 26330-2023")</f>
        <v/>
      </c>
    </row>
    <row r="18" ht="15" customHeight="1">
      <c r="A18" t="inlineStr">
        <is>
          <t>A 41444-2023</t>
        </is>
      </c>
      <c r="B18" s="1" t="n">
        <v>45175</v>
      </c>
      <c r="C18" s="1" t="n">
        <v>45264</v>
      </c>
      <c r="D18" t="inlineStr">
        <is>
          <t>VÄSTRA GÖTALANDS LÄN</t>
        </is>
      </c>
      <c r="E18" t="inlineStr">
        <is>
          <t>HÄRRYDA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41444-2023 artfynd.xlsx", "A 41444-2023")</f>
        <v/>
      </c>
      <c r="T18">
        <f>HYPERLINK("https://klasma.github.io/Logging_1401/kartor/A 41444-2023 karta.png", "A 41444-2023")</f>
        <v/>
      </c>
      <c r="V18">
        <f>HYPERLINK("https://klasma.github.io/Logging_1401/klagomål/A 41444-2023 FSC-klagomål.docx", "A 41444-2023")</f>
        <v/>
      </c>
      <c r="W18">
        <f>HYPERLINK("https://klasma.github.io/Logging_1401/klagomålsmail/A 41444-2023 FSC-klagomål mail.docx", "A 41444-2023")</f>
        <v/>
      </c>
      <c r="X18">
        <f>HYPERLINK("https://klasma.github.io/Logging_1401/tillsyn/A 41444-2023 tillsynsbegäran.docx", "A 41444-2023")</f>
        <v/>
      </c>
      <c r="Y18">
        <f>HYPERLINK("https://klasma.github.io/Logging_1401/tillsynsmail/A 41444-2023 tillsynsbegäran mail.docx", "A 41444-2023")</f>
        <v/>
      </c>
    </row>
    <row r="19" ht="15" customHeight="1">
      <c r="A19" t="inlineStr">
        <is>
          <t>A 34019-2018</t>
        </is>
      </c>
      <c r="B19" s="1" t="n">
        <v>43315</v>
      </c>
      <c r="C19" s="1" t="n">
        <v>45264</v>
      </c>
      <c r="D19" t="inlineStr">
        <is>
          <t>VÄSTRA GÖTALANDS LÄN</t>
        </is>
      </c>
      <c r="E19" t="inlineStr">
        <is>
          <t>HÄRRYDA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35566-2018</t>
        </is>
      </c>
      <c r="B20" s="1" t="n">
        <v>43326</v>
      </c>
      <c r="C20" s="1" t="n">
        <v>45264</v>
      </c>
      <c r="D20" t="inlineStr">
        <is>
          <t>VÄSTRA GÖTALANDS LÄN</t>
        </is>
      </c>
      <c r="E20" t="inlineStr">
        <is>
          <t>HÄRRYDA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61726-2018</t>
        </is>
      </c>
      <c r="B21" s="1" t="n">
        <v>43383</v>
      </c>
      <c r="C21" s="1" t="n">
        <v>45264</v>
      </c>
      <c r="D21" t="inlineStr">
        <is>
          <t>VÄSTRA GÖTALANDS LÄN</t>
        </is>
      </c>
      <c r="E21" t="inlineStr">
        <is>
          <t>HÄRRYDA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56544-2018</t>
        </is>
      </c>
      <c r="B22" s="1" t="n">
        <v>43402</v>
      </c>
      <c r="C22" s="1" t="n">
        <v>45264</v>
      </c>
      <c r="D22" t="inlineStr">
        <is>
          <t>VÄSTRA GÖTALANDS LÄN</t>
        </is>
      </c>
      <c r="E22" t="inlineStr">
        <is>
          <t>HÄRRYDA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57836-2018</t>
        </is>
      </c>
      <c r="B23" s="1" t="n">
        <v>43405</v>
      </c>
      <c r="C23" s="1" t="n">
        <v>45264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57834-2018</t>
        </is>
      </c>
      <c r="B24" s="1" t="n">
        <v>43405</v>
      </c>
      <c r="C24" s="1" t="n">
        <v>45264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61396-2018</t>
        </is>
      </c>
      <c r="B25" s="1" t="n">
        <v>43424</v>
      </c>
      <c r="C25" s="1" t="n">
        <v>45264</v>
      </c>
      <c r="D25" t="inlineStr">
        <is>
          <t>VÄSTRA GÖTALANDS LÄN</t>
        </is>
      </c>
      <c r="E25" t="inlineStr">
        <is>
          <t>HÄRRYDA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68069-2018</t>
        </is>
      </c>
      <c r="B26" s="1" t="n">
        <v>43441</v>
      </c>
      <c r="C26" s="1" t="n">
        <v>45264</v>
      </c>
      <c r="D26" t="inlineStr">
        <is>
          <t>VÄSTRA GÖTALANDS LÄN</t>
        </is>
      </c>
      <c r="E26" t="inlineStr">
        <is>
          <t>HÄRRYDA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68077-2018</t>
        </is>
      </c>
      <c r="B27" s="1" t="n">
        <v>43441</v>
      </c>
      <c r="C27" s="1" t="n">
        <v>45264</v>
      </c>
      <c r="D27" t="inlineStr">
        <is>
          <t>VÄSTRA GÖTALANDS LÄN</t>
        </is>
      </c>
      <c r="E27" t="inlineStr">
        <is>
          <t>HÄRRYDA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68709-2018</t>
        </is>
      </c>
      <c r="B28" s="1" t="n">
        <v>43444</v>
      </c>
      <c r="C28" s="1" t="n">
        <v>45264</v>
      </c>
      <c r="D28" t="inlineStr">
        <is>
          <t>VÄSTRA GÖTALANDS LÄN</t>
        </is>
      </c>
      <c r="E28" t="inlineStr">
        <is>
          <t>HÄRRYDA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72210-2018</t>
        </is>
      </c>
      <c r="B29" s="1" t="n">
        <v>43455</v>
      </c>
      <c r="C29" s="1" t="n">
        <v>45264</v>
      </c>
      <c r="D29" t="inlineStr">
        <is>
          <t>VÄSTRA GÖTALANDS LÄN</t>
        </is>
      </c>
      <c r="E29" t="inlineStr">
        <is>
          <t>HÄRRYDA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72211-2018</t>
        </is>
      </c>
      <c r="B30" s="1" t="n">
        <v>43455</v>
      </c>
      <c r="C30" s="1" t="n">
        <v>45264</v>
      </c>
      <c r="D30" t="inlineStr">
        <is>
          <t>VÄSTRA GÖTALANDS LÄN</t>
        </is>
      </c>
      <c r="E30" t="inlineStr">
        <is>
          <t>HÄRRYDA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4516-2019</t>
        </is>
      </c>
      <c r="B31" s="1" t="n">
        <v>43486</v>
      </c>
      <c r="C31" s="1" t="n">
        <v>45264</v>
      </c>
      <c r="D31" t="inlineStr">
        <is>
          <t>VÄSTRA GÖTALANDS LÄN</t>
        </is>
      </c>
      <c r="E31" t="inlineStr">
        <is>
          <t>HÄRRYDA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4526-2019</t>
        </is>
      </c>
      <c r="B32" s="1" t="n">
        <v>43486</v>
      </c>
      <c r="C32" s="1" t="n">
        <v>45264</v>
      </c>
      <c r="D32" t="inlineStr">
        <is>
          <t>VÄSTRA GÖTALANDS LÄN</t>
        </is>
      </c>
      <c r="E32" t="inlineStr">
        <is>
          <t>HÄRRYDA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4960-2019</t>
        </is>
      </c>
      <c r="B33" s="1" t="n">
        <v>43487</v>
      </c>
      <c r="C33" s="1" t="n">
        <v>45264</v>
      </c>
      <c r="D33" t="inlineStr">
        <is>
          <t>VÄSTRA GÖTALANDS LÄN</t>
        </is>
      </c>
      <c r="E33" t="inlineStr">
        <is>
          <t>HÄRRYDA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6199-2019</t>
        </is>
      </c>
      <c r="B34" s="1" t="n">
        <v>43493</v>
      </c>
      <c r="C34" s="1" t="n">
        <v>45264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6151-2019</t>
        </is>
      </c>
      <c r="B35" s="1" t="n">
        <v>43493</v>
      </c>
      <c r="C35" s="1" t="n">
        <v>45264</v>
      </c>
      <c r="D35" t="inlineStr">
        <is>
          <t>VÄSTRA GÖTALANDS LÄN</t>
        </is>
      </c>
      <c r="E35" t="inlineStr">
        <is>
          <t>HÄRRYDA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6115-2019</t>
        </is>
      </c>
      <c r="B36" s="1" t="n">
        <v>43493</v>
      </c>
      <c r="C36" s="1" t="n">
        <v>45264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7267-2019</t>
        </is>
      </c>
      <c r="B37" s="1" t="n">
        <v>43496</v>
      </c>
      <c r="C37" s="1" t="n">
        <v>45264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7253-2019</t>
        </is>
      </c>
      <c r="B38" s="1" t="n">
        <v>43496</v>
      </c>
      <c r="C38" s="1" t="n">
        <v>45264</v>
      </c>
      <c r="D38" t="inlineStr">
        <is>
          <t>VÄSTRA GÖTALANDS LÄN</t>
        </is>
      </c>
      <c r="E38" t="inlineStr">
        <is>
          <t>HÄRRYDA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16082-2019</t>
        </is>
      </c>
      <c r="B39" s="1" t="n">
        <v>43544</v>
      </c>
      <c r="C39" s="1" t="n">
        <v>45264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16065-2019</t>
        </is>
      </c>
      <c r="B40" s="1" t="n">
        <v>43544</v>
      </c>
      <c r="C40" s="1" t="n">
        <v>45264</v>
      </c>
      <c r="D40" t="inlineStr">
        <is>
          <t>VÄSTRA GÖTALANDS LÄN</t>
        </is>
      </c>
      <c r="E40" t="inlineStr">
        <is>
          <t>HÄRRYDA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18489-2019</t>
        </is>
      </c>
      <c r="B41" s="1" t="n">
        <v>43559</v>
      </c>
      <c r="C41" s="1" t="n">
        <v>45264</v>
      </c>
      <c r="D41" t="inlineStr">
        <is>
          <t>VÄSTRA GÖTALANDS LÄN</t>
        </is>
      </c>
      <c r="E41" t="inlineStr">
        <is>
          <t>HÄRRYDA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19200-2019</t>
        </is>
      </c>
      <c r="B42" s="1" t="n">
        <v>43564</v>
      </c>
      <c r="C42" s="1" t="n">
        <v>45264</v>
      </c>
      <c r="D42" t="inlineStr">
        <is>
          <t>VÄSTRA GÖTALANDS LÄN</t>
        </is>
      </c>
      <c r="E42" t="inlineStr">
        <is>
          <t>HÄRRYDA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19688-2019</t>
        </is>
      </c>
      <c r="B43" s="1" t="n">
        <v>43566</v>
      </c>
      <c r="C43" s="1" t="n">
        <v>45264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19826-2019</t>
        </is>
      </c>
      <c r="B44" s="1" t="n">
        <v>43567</v>
      </c>
      <c r="C44" s="1" t="n">
        <v>45264</v>
      </c>
      <c r="D44" t="inlineStr">
        <is>
          <t>VÄSTRA GÖTALANDS LÄN</t>
        </is>
      </c>
      <c r="E44" t="inlineStr">
        <is>
          <t>HÄRRYDA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20315-2019</t>
        </is>
      </c>
      <c r="B45" s="1" t="n">
        <v>43570</v>
      </c>
      <c r="C45" s="1" t="n">
        <v>45264</v>
      </c>
      <c r="D45" t="inlineStr">
        <is>
          <t>VÄSTRA GÖTALANDS LÄN</t>
        </is>
      </c>
      <c r="E45" t="inlineStr">
        <is>
          <t>HÄRRYDA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22530-2019</t>
        </is>
      </c>
      <c r="B46" s="1" t="n">
        <v>43587</v>
      </c>
      <c r="C46" s="1" t="n">
        <v>45264</v>
      </c>
      <c r="D46" t="inlineStr">
        <is>
          <t>VÄSTRA GÖTALANDS LÄN</t>
        </is>
      </c>
      <c r="E46" t="inlineStr">
        <is>
          <t>HÄRRYDA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22860-2019</t>
        </is>
      </c>
      <c r="B47" s="1" t="n">
        <v>43591</v>
      </c>
      <c r="C47" s="1" t="n">
        <v>45264</v>
      </c>
      <c r="D47" t="inlineStr">
        <is>
          <t>VÄSTRA GÖTALANDS LÄN</t>
        </is>
      </c>
      <c r="E47" t="inlineStr">
        <is>
          <t>HÄRRYDA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23408-2019</t>
        </is>
      </c>
      <c r="B48" s="1" t="n">
        <v>43593</v>
      </c>
      <c r="C48" s="1" t="n">
        <v>45264</v>
      </c>
      <c r="D48" t="inlineStr">
        <is>
          <t>VÄSTRA GÖTALANDS LÄN</t>
        </is>
      </c>
      <c r="E48" t="inlineStr">
        <is>
          <t>HÄRRYDA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23578-2019</t>
        </is>
      </c>
      <c r="B49" s="1" t="n">
        <v>43594</v>
      </c>
      <c r="C49" s="1" t="n">
        <v>45264</v>
      </c>
      <c r="D49" t="inlineStr">
        <is>
          <t>VÄSTRA GÖTALANDS LÄN</t>
        </is>
      </c>
      <c r="E49" t="inlineStr">
        <is>
          <t>HÄRRYDA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25345-2019</t>
        </is>
      </c>
      <c r="B50" s="1" t="n">
        <v>43606</v>
      </c>
      <c r="C50" s="1" t="n">
        <v>45264</v>
      </c>
      <c r="D50" t="inlineStr">
        <is>
          <t>VÄSTRA GÖTALANDS LÄN</t>
        </is>
      </c>
      <c r="E50" t="inlineStr">
        <is>
          <t>HÄRRYDA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45264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45264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34947-2019</t>
        </is>
      </c>
      <c r="B53" s="1" t="n">
        <v>43658</v>
      </c>
      <c r="C53" s="1" t="n">
        <v>45264</v>
      </c>
      <c r="D53" t="inlineStr">
        <is>
          <t>VÄSTRA GÖTALANDS LÄN</t>
        </is>
      </c>
      <c r="E53" t="inlineStr">
        <is>
          <t>HÄRRYDA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34993-2019</t>
        </is>
      </c>
      <c r="B54" s="1" t="n">
        <v>43660</v>
      </c>
      <c r="C54" s="1" t="n">
        <v>45264</v>
      </c>
      <c r="D54" t="inlineStr">
        <is>
          <t>VÄSTRA GÖTALANDS LÄN</t>
        </is>
      </c>
      <c r="E54" t="inlineStr">
        <is>
          <t>HÄRRYDA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49797-2019</t>
        </is>
      </c>
      <c r="B55" s="1" t="n">
        <v>43733</v>
      </c>
      <c r="C55" s="1" t="n">
        <v>45264</v>
      </c>
      <c r="D55" t="inlineStr">
        <is>
          <t>VÄSTRA GÖTALANDS LÄN</t>
        </is>
      </c>
      <c r="E55" t="inlineStr">
        <is>
          <t>HÄRRYDA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49806-2019</t>
        </is>
      </c>
      <c r="B56" s="1" t="n">
        <v>43733</v>
      </c>
      <c r="C56" s="1" t="n">
        <v>45264</v>
      </c>
      <c r="D56" t="inlineStr">
        <is>
          <t>VÄSTRA GÖTALANDS LÄN</t>
        </is>
      </c>
      <c r="E56" t="inlineStr">
        <is>
          <t>HÄRRYDA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50168-2019</t>
        </is>
      </c>
      <c r="B57" s="1" t="n">
        <v>43734</v>
      </c>
      <c r="C57" s="1" t="n">
        <v>45264</v>
      </c>
      <c r="D57" t="inlineStr">
        <is>
          <t>VÄSTRA GÖTALANDS LÄN</t>
        </is>
      </c>
      <c r="E57" t="inlineStr">
        <is>
          <t>HÄRRYDA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53137-2019</t>
        </is>
      </c>
      <c r="B58" s="1" t="n">
        <v>43740</v>
      </c>
      <c r="C58" s="1" t="n">
        <v>45264</v>
      </c>
      <c r="D58" t="inlineStr">
        <is>
          <t>VÄSTRA GÖTALANDS LÄN</t>
        </is>
      </c>
      <c r="E58" t="inlineStr">
        <is>
          <t>HÄRRYDA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64721-2019</t>
        </is>
      </c>
      <c r="B59" s="1" t="n">
        <v>43800</v>
      </c>
      <c r="C59" s="1" t="n">
        <v>45264</v>
      </c>
      <c r="D59" t="inlineStr">
        <is>
          <t>VÄSTRA GÖTALANDS LÄN</t>
        </is>
      </c>
      <c r="E59" t="inlineStr">
        <is>
          <t>HÄRRYDA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64722-2019</t>
        </is>
      </c>
      <c r="B60" s="1" t="n">
        <v>43800</v>
      </c>
      <c r="C60" s="1" t="n">
        <v>45264</v>
      </c>
      <c r="D60" t="inlineStr">
        <is>
          <t>VÄSTRA GÖTALANDS LÄN</t>
        </is>
      </c>
      <c r="E60" t="inlineStr">
        <is>
          <t>HÄRRYDA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64724-2019</t>
        </is>
      </c>
      <c r="B61" s="1" t="n">
        <v>43800</v>
      </c>
      <c r="C61" s="1" t="n">
        <v>45264</v>
      </c>
      <c r="D61" t="inlineStr">
        <is>
          <t>VÄSTRA GÖTALANDS LÄN</t>
        </is>
      </c>
      <c r="E61" t="inlineStr">
        <is>
          <t>HÄRRYDA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65186-2019</t>
        </is>
      </c>
      <c r="B62" s="1" t="n">
        <v>43802</v>
      </c>
      <c r="C62" s="1" t="n">
        <v>45264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65268-2019</t>
        </is>
      </c>
      <c r="B63" s="1" t="n">
        <v>43802</v>
      </c>
      <c r="C63" s="1" t="n">
        <v>45264</v>
      </c>
      <c r="D63" t="inlineStr">
        <is>
          <t>VÄSTRA GÖTALANDS LÄN</t>
        </is>
      </c>
      <c r="E63" t="inlineStr">
        <is>
          <t>HÄRRYDA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65693-2019</t>
        </is>
      </c>
      <c r="B64" s="1" t="n">
        <v>43804</v>
      </c>
      <c r="C64" s="1" t="n">
        <v>45264</v>
      </c>
      <c r="D64" t="inlineStr">
        <is>
          <t>VÄSTRA GÖTALANDS LÄN</t>
        </is>
      </c>
      <c r="E64" t="inlineStr">
        <is>
          <t>HÄRRYDA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65688-2019</t>
        </is>
      </c>
      <c r="B65" s="1" t="n">
        <v>43804</v>
      </c>
      <c r="C65" s="1" t="n">
        <v>45264</v>
      </c>
      <c r="D65" t="inlineStr">
        <is>
          <t>VÄSTRA GÖTALANDS LÄN</t>
        </is>
      </c>
      <c r="E65" t="inlineStr">
        <is>
          <t>HÄRRYDA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65687-2019</t>
        </is>
      </c>
      <c r="B66" s="1" t="n">
        <v>43804</v>
      </c>
      <c r="C66" s="1" t="n">
        <v>45264</v>
      </c>
      <c r="D66" t="inlineStr">
        <is>
          <t>VÄSTRA GÖTALANDS LÄN</t>
        </is>
      </c>
      <c r="E66" t="inlineStr">
        <is>
          <t>HÄRRYDA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65670-2019</t>
        </is>
      </c>
      <c r="B67" s="1" t="n">
        <v>43804</v>
      </c>
      <c r="C67" s="1" t="n">
        <v>45264</v>
      </c>
      <c r="D67" t="inlineStr">
        <is>
          <t>VÄSTRA GÖTALANDS LÄN</t>
        </is>
      </c>
      <c r="E67" t="inlineStr">
        <is>
          <t>HÄRRYDA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1502-2020</t>
        </is>
      </c>
      <c r="B68" s="1" t="n">
        <v>43826</v>
      </c>
      <c r="C68" s="1" t="n">
        <v>45264</v>
      </c>
      <c r="D68" t="inlineStr">
        <is>
          <t>VÄSTRA GÖTALANDS LÄN</t>
        </is>
      </c>
      <c r="E68" t="inlineStr">
        <is>
          <t>HÄRRYDA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587-2020</t>
        </is>
      </c>
      <c r="B69" s="1" t="n">
        <v>43838</v>
      </c>
      <c r="C69" s="1" t="n">
        <v>45264</v>
      </c>
      <c r="D69" t="inlineStr">
        <is>
          <t>VÄSTRA GÖTALANDS LÄN</t>
        </is>
      </c>
      <c r="E69" t="inlineStr">
        <is>
          <t>HÄRRYDA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6168-2020</t>
        </is>
      </c>
      <c r="B70" s="1" t="n">
        <v>43865</v>
      </c>
      <c r="C70" s="1" t="n">
        <v>45264</v>
      </c>
      <c r="D70" t="inlineStr">
        <is>
          <t>VÄSTRA GÖTALANDS LÄN</t>
        </is>
      </c>
      <c r="E70" t="inlineStr">
        <is>
          <t>HÄRRYDA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8467-2020</t>
        </is>
      </c>
      <c r="B71" s="1" t="n">
        <v>43875</v>
      </c>
      <c r="C71" s="1" t="n">
        <v>45264</v>
      </c>
      <c r="D71" t="inlineStr">
        <is>
          <t>VÄSTRA GÖTALANDS LÄN</t>
        </is>
      </c>
      <c r="E71" t="inlineStr">
        <is>
          <t>HÄRRYDA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10270-2020</t>
        </is>
      </c>
      <c r="B72" s="1" t="n">
        <v>43887</v>
      </c>
      <c r="C72" s="1" t="n">
        <v>45264</v>
      </c>
      <c r="D72" t="inlineStr">
        <is>
          <t>VÄSTRA GÖTALANDS LÄN</t>
        </is>
      </c>
      <c r="E72" t="inlineStr">
        <is>
          <t>HÄRRYDA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14779-2020</t>
        </is>
      </c>
      <c r="B73" s="1" t="n">
        <v>43909</v>
      </c>
      <c r="C73" s="1" t="n">
        <v>45264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15234-2020</t>
        </is>
      </c>
      <c r="B74" s="1" t="n">
        <v>43913</v>
      </c>
      <c r="C74" s="1" t="n">
        <v>45264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15265-2020</t>
        </is>
      </c>
      <c r="B75" s="1" t="n">
        <v>43913</v>
      </c>
      <c r="C75" s="1" t="n">
        <v>45264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15597-2020</t>
        </is>
      </c>
      <c r="B76" s="1" t="n">
        <v>43914</v>
      </c>
      <c r="C76" s="1" t="n">
        <v>45264</v>
      </c>
      <c r="D76" t="inlineStr">
        <is>
          <t>VÄSTRA GÖTALANDS LÄN</t>
        </is>
      </c>
      <c r="E76" t="inlineStr">
        <is>
          <t>HÄRRYDA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15846-2020</t>
        </is>
      </c>
      <c r="B77" s="1" t="n">
        <v>43915</v>
      </c>
      <c r="C77" s="1" t="n">
        <v>45264</v>
      </c>
      <c r="D77" t="inlineStr">
        <is>
          <t>VÄSTRA GÖTALANDS LÄN</t>
        </is>
      </c>
      <c r="E77" t="inlineStr">
        <is>
          <t>HÄRRYDA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18847-2020</t>
        </is>
      </c>
      <c r="B78" s="1" t="n">
        <v>43929</v>
      </c>
      <c r="C78" s="1" t="n">
        <v>45264</v>
      </c>
      <c r="D78" t="inlineStr">
        <is>
          <t>VÄSTRA GÖTALANDS LÄN</t>
        </is>
      </c>
      <c r="E78" t="inlineStr">
        <is>
          <t>HÄRRYDA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18849-2020</t>
        </is>
      </c>
      <c r="B79" s="1" t="n">
        <v>43929</v>
      </c>
      <c r="C79" s="1" t="n">
        <v>45264</v>
      </c>
      <c r="D79" t="inlineStr">
        <is>
          <t>VÄSTRA GÖTALANDS LÄN</t>
        </is>
      </c>
      <c r="E79" t="inlineStr">
        <is>
          <t>HÄRRYDA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21685-2020</t>
        </is>
      </c>
      <c r="B80" s="1" t="n">
        <v>43957</v>
      </c>
      <c r="C80" s="1" t="n">
        <v>45264</v>
      </c>
      <c r="D80" t="inlineStr">
        <is>
          <t>VÄSTRA GÖTALANDS LÄN</t>
        </is>
      </c>
      <c r="E80" t="inlineStr">
        <is>
          <t>HÄRRYDA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21682-2020</t>
        </is>
      </c>
      <c r="B81" s="1" t="n">
        <v>43957</v>
      </c>
      <c r="C81" s="1" t="n">
        <v>45264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24733-2020</t>
        </is>
      </c>
      <c r="B82" s="1" t="n">
        <v>43978</v>
      </c>
      <c r="C82" s="1" t="n">
        <v>45264</v>
      </c>
      <c r="D82" t="inlineStr">
        <is>
          <t>VÄSTRA GÖTALANDS LÄN</t>
        </is>
      </c>
      <c r="E82" t="inlineStr">
        <is>
          <t>HÄRRYDA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33262-2020</t>
        </is>
      </c>
      <c r="B83" s="1" t="n">
        <v>44022</v>
      </c>
      <c r="C83" s="1" t="n">
        <v>45264</v>
      </c>
      <c r="D83" t="inlineStr">
        <is>
          <t>VÄSTRA GÖTALANDS LÄN</t>
        </is>
      </c>
      <c r="E83" t="inlineStr">
        <is>
          <t>HÄRRYDA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37987-2020</t>
        </is>
      </c>
      <c r="B84" s="1" t="n">
        <v>44057</v>
      </c>
      <c r="C84" s="1" t="n">
        <v>45264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37989-2020</t>
        </is>
      </c>
      <c r="B85" s="1" t="n">
        <v>44057</v>
      </c>
      <c r="C85" s="1" t="n">
        <v>45264</v>
      </c>
      <c r="D85" t="inlineStr">
        <is>
          <t>VÄSTRA GÖTALANDS LÄN</t>
        </is>
      </c>
      <c r="E85" t="inlineStr">
        <is>
          <t>HÄRRYDA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43194-2020</t>
        </is>
      </c>
      <c r="B86" s="1" t="n">
        <v>44081</v>
      </c>
      <c r="C86" s="1" t="n">
        <v>45264</v>
      </c>
      <c r="D86" t="inlineStr">
        <is>
          <t>VÄSTRA GÖTALANDS LÄN</t>
        </is>
      </c>
      <c r="E86" t="inlineStr">
        <is>
          <t>HÄRRYDA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43198-2020</t>
        </is>
      </c>
      <c r="B87" s="1" t="n">
        <v>44081</v>
      </c>
      <c r="C87" s="1" t="n">
        <v>45264</v>
      </c>
      <c r="D87" t="inlineStr">
        <is>
          <t>VÄSTRA GÖTALANDS LÄN</t>
        </is>
      </c>
      <c r="E87" t="inlineStr">
        <is>
          <t>HÄRRYDA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43202-2020</t>
        </is>
      </c>
      <c r="B88" s="1" t="n">
        <v>44081</v>
      </c>
      <c r="C88" s="1" t="n">
        <v>45264</v>
      </c>
      <c r="D88" t="inlineStr">
        <is>
          <t>VÄSTRA GÖTALANDS LÄN</t>
        </is>
      </c>
      <c r="E88" t="inlineStr">
        <is>
          <t>HÄRRYDA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44647-2020</t>
        </is>
      </c>
      <c r="B89" s="1" t="n">
        <v>44085</v>
      </c>
      <c r="C89" s="1" t="n">
        <v>45264</v>
      </c>
      <c r="D89" t="inlineStr">
        <is>
          <t>VÄSTRA GÖTALANDS LÄN</t>
        </is>
      </c>
      <c r="E89" t="inlineStr">
        <is>
          <t>HÄRRYDA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49344-2020</t>
        </is>
      </c>
      <c r="B90" s="1" t="n">
        <v>44105</v>
      </c>
      <c r="C90" s="1" t="n">
        <v>45264</v>
      </c>
      <c r="D90" t="inlineStr">
        <is>
          <t>VÄSTRA GÖTALANDS LÄN</t>
        </is>
      </c>
      <c r="E90" t="inlineStr">
        <is>
          <t>HÄRRYDA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49333-2020</t>
        </is>
      </c>
      <c r="B91" s="1" t="n">
        <v>44105</v>
      </c>
      <c r="C91" s="1" t="n">
        <v>45264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51650-2020</t>
        </is>
      </c>
      <c r="B92" s="1" t="n">
        <v>44113</v>
      </c>
      <c r="C92" s="1" t="n">
        <v>45264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57067-2020</t>
        </is>
      </c>
      <c r="B93" s="1" t="n">
        <v>44138</v>
      </c>
      <c r="C93" s="1" t="n">
        <v>45264</v>
      </c>
      <c r="D93" t="inlineStr">
        <is>
          <t>VÄSTRA GÖTALANDS LÄN</t>
        </is>
      </c>
      <c r="E93" t="inlineStr">
        <is>
          <t>HÄRRYDA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59467-2020</t>
        </is>
      </c>
      <c r="B94" s="1" t="n">
        <v>44148</v>
      </c>
      <c r="C94" s="1" t="n">
        <v>45264</v>
      </c>
      <c r="D94" t="inlineStr">
        <is>
          <t>VÄSTRA GÖTALANDS LÄN</t>
        </is>
      </c>
      <c r="E94" t="inlineStr">
        <is>
          <t>HÄRRYDA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45264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45264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45264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45264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45264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45264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45264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45264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45264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45264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45264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45264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45264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45264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45264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45264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45264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45264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45264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45264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45264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45264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45264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45264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45264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45264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45264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45264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45264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45264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45264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45264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45264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45264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45264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45264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45264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45264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45264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45264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45264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45264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45264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45264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45264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45264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45264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45264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45264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45264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45264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45264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45264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45264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45264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45264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45264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45264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45264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45264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45264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45264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45264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45264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45264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45264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45264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45264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45264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45264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45264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45264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45264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45264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45264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45264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45264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45264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45264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45264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45264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45264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45264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45264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45264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45264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45264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45264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45264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45264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45264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45264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45264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45264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45264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45264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45264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45264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45264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45264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45264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45264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45264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45264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45264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45264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45264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45264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45264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45264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45264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45264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45264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45264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45264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45264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45264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45264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55708-2023</t>
        </is>
      </c>
      <c r="B213" s="1" t="n">
        <v>45239</v>
      </c>
      <c r="C213" s="1" t="n">
        <v>45264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55686-2023</t>
        </is>
      </c>
      <c r="B214" s="1" t="n">
        <v>45239</v>
      </c>
      <c r="C214" s="1" t="n">
        <v>45264</v>
      </c>
      <c r="D214" t="inlineStr">
        <is>
          <t>VÄSTRA GÖTALANDS LÄN</t>
        </is>
      </c>
      <c r="E214" t="inlineStr">
        <is>
          <t>HÄRRYDA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45264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45264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58561-2023</t>
        </is>
      </c>
      <c r="B217" s="1" t="n">
        <v>45251</v>
      </c>
      <c r="C217" s="1" t="n">
        <v>45264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2023-12-04T09:51:36Z</dcterms:created>
  <dcterms:modified xmlns:dcterms="http://purl.org/dc/terms/" xmlns:xsi="http://www.w3.org/2001/XMLSchema-instance" xsi:type="dcterms:W3CDTF">2023-12-04T09:51:36Z</dcterms:modified>
</cp:coreProperties>
</file>