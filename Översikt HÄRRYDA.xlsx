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46250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46250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46250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46250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46250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46250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46250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46250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46250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46250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46250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46250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46250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21398-2023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45063</v>
      </c>
      <c r="E22" s="1" t="n">
        <v>46250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21398-2023 artfynd.xlsx", "A 21398-2023")</f>
        <v/>
      </c>
      <c r="X22">
        <f>HYPERLINK("https://klasma.github.io/Logging_1401/kartor/A 21398-2023 karta.png", "A 21398-2023")</f>
        <v/>
      </c>
      <c r="Y22">
        <f>HYPERLINK("https://klasma.github.io/Logging_1401/kartor_geotiff/A 21398-2023 georefererad karta.tif", "A 21398-2023")</f>
        <v/>
      </c>
      <c r="AA22">
        <f>HYPERLINK("https://klasma.github.io/Logging_1401/klagomål/A 21398-2023 FSC-klagomål.docx", "A 21398-2023")</f>
        <v/>
      </c>
      <c r="AB22">
        <f>HYPERLINK("https://klasma.github.io/Logging_1401/klagomålsmail/A 21398-2023 FSC-klagomål mail.docx", "A 21398-2023")</f>
        <v/>
      </c>
      <c r="AC22">
        <f>HYPERLINK("https://klasma.github.io/Logging_1401/tillsyn/A 21398-2023 tillsynsbegäran.docx", "A 21398-2023")</f>
        <v/>
      </c>
      <c r="AD22">
        <f>HYPERLINK("https://klasma.github.io/Logging_1401/tillsynsmail/A 21398-2023 tillsynsbegäran mail.docx", "A 21398-2023")</f>
        <v/>
      </c>
    </row>
    <row r="23" ht="15" customHeight="1">
      <c r="A23" t="inlineStr">
        <is>
          <t>A 58481-2022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44902</v>
      </c>
      <c r="E23" s="1" t="n">
        <v>46250</v>
      </c>
      <c r="F23" t="inlineStr">
        <is>
          <t>VÄSTRA GÖTALANDS LÄN</t>
        </is>
      </c>
      <c r="G23" t="inlineStr">
        <is>
          <t>HÄRRYDA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58481-2022 artfynd.xlsx", "A 58481-2022")</f>
        <v/>
      </c>
      <c r="X23">
        <f>HYPERLINK("https://klasma.github.io/Logging_1401/kartor/A 58481-2022 karta.png", "A 58481-2022")</f>
        <v/>
      </c>
      <c r="Y23">
        <f>HYPERLINK("https://klasma.github.io/Logging_1401/kartor_geotiff/A 58481-2022 georefererad karta.tif", "A 58481-2022")</f>
        <v/>
      </c>
      <c r="AA23">
        <f>HYPERLINK("https://klasma.github.io/Logging_1401/klagomål/A 58481-2022 FSC-klagomål.docx", "A 58481-2022")</f>
        <v/>
      </c>
      <c r="AB23">
        <f>HYPERLINK("https://klasma.github.io/Logging_1401/klagomålsmail/A 58481-2022 FSC-klagomål mail.docx", "A 58481-2022")</f>
        <v/>
      </c>
      <c r="AC23">
        <f>HYPERLINK("https://klasma.github.io/Logging_1401/tillsyn/A 58481-2022 tillsynsbegäran.docx", "A 58481-2022")</f>
        <v/>
      </c>
      <c r="AD23">
        <f>HYPERLINK("https://klasma.github.io/Logging_1401/tillsynsmail/A 58481-2022 tillsynsbegäran mail.docx", "A 58481-2022")</f>
        <v/>
      </c>
    </row>
    <row r="24" ht="15" customHeight="1">
      <c r="A24" t="inlineStr">
        <is>
          <t>A 52164-2023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46250</v>
      </c>
      <c r="F24" t="inlineStr">
        <is>
          <t>VÄSTRA GÖTALANDS LÄN</t>
        </is>
      </c>
      <c r="G24" t="inlineStr">
        <is>
          <t>HÄRRYDA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HYPERLINK("https://klasma.github.io/Logging_1401/artfynd/A 52164-2023 artfynd.xlsx", "A 52164-2023")</f>
        <v/>
      </c>
      <c r="X24">
        <f>HYPERLINK("https://klasma.github.io/Logging_1401/kartor/A 52164-2023 karta.png", "A 52164-2023")</f>
        <v/>
      </c>
      <c r="Y24">
        <f>HYPERLINK("https://klasma.github.io/Logging_1401/kartor_geotiff/A 52164-2023 georefererad karta.tif", "A 52164-2023")</f>
        <v/>
      </c>
      <c r="AA24">
        <f>HYPERLINK("https://klasma.github.io/Logging_1401/klagomål/A 52164-2023 FSC-klagomål.docx", "A 52164-2023")</f>
        <v/>
      </c>
      <c r="AB24">
        <f>HYPERLINK("https://klasma.github.io/Logging_1401/klagomålsmail/A 52164-2023 FSC-klagomål mail.docx", "A 52164-2023")</f>
        <v/>
      </c>
      <c r="AC24">
        <f>HYPERLINK("https://klasma.github.io/Logging_1401/tillsyn/A 52164-2023 tillsynsbegäran.docx", "A 52164-2023")</f>
        <v/>
      </c>
      <c r="AD24">
        <f>HYPERLINK("https://klasma.github.io/Logging_1401/tillsynsmail/A 52164-2023 tillsynsbegäran mail.docx", "A 52164-2023")</f>
        <v/>
      </c>
    </row>
    <row r="25" ht="15" customHeight="1">
      <c r="A25" t="inlineStr">
        <is>
          <t>A 23492-2026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46250</v>
      </c>
      <c r="F25" t="inlineStr">
        <is>
          <t>VÄSTRA GÖTALANDS LÄN</t>
        </is>
      </c>
      <c r="G25" t="inlineStr">
        <is>
          <t>HÄRRYDA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23492-2026 artfynd.xlsx", "A 23492-2026")</f>
        <v/>
      </c>
      <c r="X25">
        <f>HYPERLINK("https://klasma.github.io/Logging_1401/kartor/A 23492-2026 karta.png", "A 23492-2026")</f>
        <v/>
      </c>
      <c r="Y25">
        <f>HYPERLINK("https://klasma.github.io/Logging_1401/kartor_geotiff/A 23492-2026 georefererad karta.tif", "A 23492-2026")</f>
        <v/>
      </c>
      <c r="AA25">
        <f>HYPERLINK("https://klasma.github.io/Logging_1401/klagomål/A 23492-2026 FSC-klagomål.docx", "A 23492-2026")</f>
        <v/>
      </c>
      <c r="AB25">
        <f>HYPERLINK("https://klasma.github.io/Logging_1401/klagomålsmail/A 23492-2026 FSC-klagomål mail.docx", "A 23492-2026")</f>
        <v/>
      </c>
      <c r="AC25">
        <f>HYPERLINK("https://klasma.github.io/Logging_1401/tillsyn/A 23492-2026 tillsynsbegäran.docx", "A 23492-2026")</f>
        <v/>
      </c>
      <c r="AD25">
        <f>HYPERLINK("https://klasma.github.io/Logging_1401/tillsynsmail/A 23492-2026 tillsynsbegäran mail.docx", "A 23492-2026")</f>
        <v/>
      </c>
    </row>
    <row r="26" ht="15" customHeight="1">
      <c r="A26" t="inlineStr">
        <is>
          <t>A 41457-2023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46250</v>
      </c>
      <c r="F26" t="inlineStr">
        <is>
          <t>VÄSTRA GÖTALANDS LÄN</t>
        </is>
      </c>
      <c r="G26" t="inlineStr">
        <is>
          <t>HÄRRYDA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Almkrämskinn</t>
        </is>
      </c>
      <c r="W26">
        <f>HYPERLINK("https://klasma.github.io/Logging_1401/artfynd/A 41457-2023 artfynd.xlsx", "A 41457-2023")</f>
        <v/>
      </c>
      <c r="X26">
        <f>HYPERLINK("https://klasma.github.io/Logging_1401/kartor/A 41457-2023 karta.png", "A 41457-2023")</f>
        <v/>
      </c>
      <c r="Y26">
        <f>HYPERLINK("https://klasma.github.io/Logging_1401/kartor_geotiff/A 41457-2023 georefererad karta.tif", "A 41457-2023")</f>
        <v/>
      </c>
      <c r="AA26">
        <f>HYPERLINK("https://klasma.github.io/Logging_1401/klagomål/A 41457-2023 FSC-klagomål.docx", "A 41457-2023")</f>
        <v/>
      </c>
      <c r="AB26">
        <f>HYPERLINK("https://klasma.github.io/Logging_1401/klagomålsmail/A 41457-2023 FSC-klagomål mail.docx", "A 41457-2023")</f>
        <v/>
      </c>
      <c r="AC26">
        <f>HYPERLINK("https://klasma.github.io/Logging_1401/tillsyn/A 41457-2023 tillsynsbegäran.docx", "A 41457-2023")</f>
        <v/>
      </c>
      <c r="AD26">
        <f>HYPERLINK("https://klasma.github.io/Logging_1401/tillsynsmail/A 41457-2023 tillsynsbegäran mail.docx", "A 41457-2023")</f>
        <v/>
      </c>
    </row>
    <row r="27" ht="15" customHeight="1">
      <c r="A27" t="inlineStr">
        <is>
          <t>A 27482-2025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46250</v>
      </c>
      <c r="F27" t="inlineStr">
        <is>
          <t>VÄSTRA GÖTALANDS LÄN</t>
        </is>
      </c>
      <c r="G27" t="inlineStr">
        <is>
          <t>HÄRRYDA</t>
        </is>
      </c>
      <c r="I27" t="n">
        <v>14.1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HYPERLINK("https://klasma.github.io/Logging_1401/artfynd/A 27482-2025 artfynd.xlsx", "A 27482-2025")</f>
        <v/>
      </c>
      <c r="X27">
        <f>HYPERLINK("https://klasma.github.io/Logging_1401/kartor/A 27482-2025 karta.png", "A 27482-2025")</f>
        <v/>
      </c>
      <c r="Y27">
        <f>HYPERLINK("https://klasma.github.io/Logging_1401/kartor_geotiff/A 27482-2025 georefererad karta.tif", "A 27482-2025")</f>
        <v/>
      </c>
      <c r="AA27">
        <f>HYPERLINK("https://klasma.github.io/Logging_1401/klagomål/A 27482-2025 FSC-klagomål.docx", "A 27482-2025")</f>
        <v/>
      </c>
      <c r="AB27">
        <f>HYPERLINK("https://klasma.github.io/Logging_1401/klagomålsmail/A 27482-2025 FSC-klagomål mail.docx", "A 27482-2025")</f>
        <v/>
      </c>
      <c r="AC27">
        <f>HYPERLINK("https://klasma.github.io/Logging_1401/tillsyn/A 27482-2025 tillsynsbegäran.docx", "A 27482-2025")</f>
        <v/>
      </c>
      <c r="AD27">
        <f>HYPERLINK("https://klasma.github.io/Logging_1401/tillsynsmail/A 27482-2025 tillsynsbegäran mail.docx", "A 27482-2025")</f>
        <v/>
      </c>
    </row>
    <row r="28" ht="15" customHeight="1">
      <c r="A28" t="inlineStr">
        <is>
          <t>A 14259-2025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46250</v>
      </c>
      <c r="F28" t="inlineStr">
        <is>
          <t>VÄSTRA GÖTALANDS LÄN</t>
        </is>
      </c>
      <c r="G28" t="inlineStr">
        <is>
          <t>HÄRRYDA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HYPERLINK("https://klasma.github.io/Logging_1401/artfynd/A 14259-2025 artfynd.xlsx", "A 14259-2025")</f>
        <v/>
      </c>
      <c r="X28">
        <f>HYPERLINK("https://klasma.github.io/Logging_1401/kartor/A 14259-2025 karta.png", "A 14259-2025")</f>
        <v/>
      </c>
      <c r="Y28">
        <f>HYPERLINK("https://klasma.github.io/Logging_1401/kartor_geotiff/A 14259-2025 georefererad karta.tif", "A 14259-2025")</f>
        <v/>
      </c>
      <c r="AA28">
        <f>HYPERLINK("https://klasma.github.io/Logging_1401/klagomål/A 14259-2025 FSC-klagomål.docx", "A 14259-2025")</f>
        <v/>
      </c>
      <c r="AB28">
        <f>HYPERLINK("https://klasma.github.io/Logging_1401/klagomålsmail/A 14259-2025 FSC-klagomål mail.docx", "A 14259-2025")</f>
        <v/>
      </c>
      <c r="AC28">
        <f>HYPERLINK("https://klasma.github.io/Logging_1401/tillsyn/A 14259-2025 tillsynsbegäran.docx", "A 14259-2025")</f>
        <v/>
      </c>
      <c r="AD28">
        <f>HYPERLINK("https://klasma.github.io/Logging_1401/tillsynsmail/A 14259-2025 tillsynsbegäran mail.docx", "A 14259-2025")</f>
        <v/>
      </c>
    </row>
    <row r="29" ht="15" customHeight="1">
      <c r="A29" t="inlineStr">
        <is>
          <t>A 19977-2022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44697</v>
      </c>
      <c r="E29" s="1" t="n">
        <v>46250</v>
      </c>
      <c r="F29" t="inlineStr">
        <is>
          <t>VÄSTRA GÖTALANDS LÄN</t>
        </is>
      </c>
      <c r="G29" t="inlineStr">
        <is>
          <t>HÄRRYDA</t>
        </is>
      </c>
      <c r="I29" t="n">
        <v>4.7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19977-2022 artfynd.xlsx", "A 19977-2022")</f>
        <v/>
      </c>
      <c r="X29">
        <f>HYPERLINK("https://klasma.github.io/Logging_1401/kartor/A 19977-2022 karta.png", "A 19977-2022")</f>
        <v/>
      </c>
      <c r="Y29">
        <f>HYPERLINK("https://klasma.github.io/Logging_1401/kartor_geotiff/A 19977-2022 georefererad karta.tif", "A 19977-2022")</f>
        <v/>
      </c>
      <c r="AA29">
        <f>HYPERLINK("https://klasma.github.io/Logging_1401/klagomål/A 19977-2022 FSC-klagomål.docx", "A 19977-2022")</f>
        <v/>
      </c>
      <c r="AB29">
        <f>HYPERLINK("https://klasma.github.io/Logging_1401/klagomålsmail/A 19977-2022 FSC-klagomål mail.docx", "A 19977-2022")</f>
        <v/>
      </c>
      <c r="AC29">
        <f>HYPERLINK("https://klasma.github.io/Logging_1401/tillsyn/A 19977-2022 tillsynsbegäran.docx", "A 19977-2022")</f>
        <v/>
      </c>
      <c r="AD29">
        <f>HYPERLINK("https://klasma.github.io/Logging_1401/tillsynsmail/A 19977-2022 tillsynsbegäran mail.docx", "A 19977-2022")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46250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46250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46250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46250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46250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46250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46250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46250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45393</v>
      </c>
      <c r="E41" s="1" t="n">
        <v>46250</v>
      </c>
      <c r="F41" t="inlineStr">
        <is>
          <t>VÄSTRA GÖTALANDS LÄN</t>
        </is>
      </c>
      <c r="G41" t="inlineStr">
        <is>
          <t>HÄRRYDA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51127-2023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46250</v>
      </c>
      <c r="F42" t="inlineStr">
        <is>
          <t>VÄSTRA GÖTALANDS LÄN</t>
        </is>
      </c>
      <c r="G42" t="inlineStr">
        <is>
          <t>HÄRRYDA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46250</v>
      </c>
      <c r="F43" t="inlineStr">
        <is>
          <t>VÄSTRA GÖTALANDS LÄN</t>
        </is>
      </c>
      <c r="G43" t="inlineStr">
        <is>
          <t>HÄRRYDA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19782-2022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44694</v>
      </c>
      <c r="E44" s="1" t="n">
        <v>46250</v>
      </c>
      <c r="F44" t="inlineStr">
        <is>
          <t>VÄSTRA GÖTALANDS LÄN</t>
        </is>
      </c>
      <c r="G44" t="inlineStr">
        <is>
          <t>HÄRRYDA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65080-2023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45287</v>
      </c>
      <c r="E45" s="1" t="n">
        <v>46250</v>
      </c>
      <c r="F45" t="inlineStr">
        <is>
          <t>VÄSTRA GÖTALANDS LÄN</t>
        </is>
      </c>
      <c r="G45" t="inlineStr">
        <is>
          <t>HÄRRYDA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46250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46250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63595-2021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46250</v>
      </c>
      <c r="F48" t="inlineStr">
        <is>
          <t>VÄSTRA GÖTALANDS LÄN</t>
        </is>
      </c>
      <c r="G48" t="inlineStr">
        <is>
          <t>HÄRRYDA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46250</v>
      </c>
      <c r="F49" t="inlineStr">
        <is>
          <t>VÄSTRA GÖTALANDS LÄN</t>
        </is>
      </c>
      <c r="G49" t="inlineStr">
        <is>
          <t>HÄRRYDA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46250</v>
      </c>
      <c r="F50" t="inlineStr">
        <is>
          <t>VÄSTRA GÖTALANDS LÄN</t>
        </is>
      </c>
      <c r="G50" t="inlineStr">
        <is>
          <t>HÄRRYDA</t>
        </is>
      </c>
      <c r="I50" t="n">
        <v>7.1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46250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12091-2024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45377</v>
      </c>
      <c r="E52" s="1" t="n">
        <v>46250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46250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46250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46250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46250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46250</v>
      </c>
      <c r="F57" t="inlineStr">
        <is>
          <t>VÄSTRA GÖTALANDS LÄN</t>
        </is>
      </c>
      <c r="G57" t="inlineStr">
        <is>
          <t>HÄRRYDA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45307</v>
      </c>
      <c r="E58" s="1" t="n">
        <v>46250</v>
      </c>
      <c r="F58" t="inlineStr">
        <is>
          <t>VÄSTRA GÖTALANDS LÄN</t>
        </is>
      </c>
      <c r="G58" t="inlineStr">
        <is>
          <t>HÄRRYDA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45935</v>
      </c>
      <c r="E59" s="1" t="n">
        <v>46250</v>
      </c>
      <c r="F59" t="inlineStr">
        <is>
          <t>VÄSTRA GÖTALANDS LÄN</t>
        </is>
      </c>
      <c r="G59" t="inlineStr">
        <is>
          <t>HÄRRYDA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46250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45934</v>
      </c>
      <c r="E61" s="1" t="n">
        <v>46250</v>
      </c>
      <c r="F61" t="inlineStr">
        <is>
          <t>VÄSTRA GÖTALANDS LÄN</t>
        </is>
      </c>
      <c r="G61" t="inlineStr">
        <is>
          <t>HÄRRYDA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59711-2022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46250</v>
      </c>
      <c r="F62" t="inlineStr">
        <is>
          <t>VÄSTRA GÖTALANDS LÄN</t>
        </is>
      </c>
      <c r="G62" t="inlineStr">
        <is>
          <t>HÄRRYDA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46250</v>
      </c>
      <c r="F63" t="inlineStr">
        <is>
          <t>VÄSTRA GÖTALANDS LÄN</t>
        </is>
      </c>
      <c r="G63" t="inlineStr">
        <is>
          <t>HÄRRYDA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46250</v>
      </c>
      <c r="F64" t="inlineStr">
        <is>
          <t>VÄSTRA GÖTALANDS LÄN</t>
        </is>
      </c>
      <c r="G64" t="inlineStr">
        <is>
          <t>HÄRRYDA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46250</v>
      </c>
      <c r="F65" t="inlineStr">
        <is>
          <t>VÄSTRA GÖTALANDS LÄN</t>
        </is>
      </c>
      <c r="G65" t="inlineStr">
        <is>
          <t>HÄRRYDA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46250</v>
      </c>
      <c r="F66" t="inlineStr">
        <is>
          <t>VÄSTRA GÖTALANDS LÄN</t>
        </is>
      </c>
      <c r="G66" t="inlineStr">
        <is>
          <t>HÄRRYDA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45651</v>
      </c>
      <c r="E67" s="1" t="n">
        <v>46250</v>
      </c>
      <c r="F67" t="inlineStr">
        <is>
          <t>VÄSTRA GÖTALANDS LÄN</t>
        </is>
      </c>
      <c r="G67" t="inlineStr">
        <is>
          <t>HÄRRYDA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15698-2026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46107</v>
      </c>
      <c r="E68" s="1" t="n">
        <v>46250</v>
      </c>
      <c r="F68" t="inlineStr">
        <is>
          <t>VÄSTRA GÖTALANDS LÄN</t>
        </is>
      </c>
      <c r="G68" t="inlineStr">
        <is>
          <t>HÄRRYDA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46250</v>
      </c>
      <c r="F69" t="inlineStr">
        <is>
          <t>VÄSTRA GÖTALANDS LÄN</t>
        </is>
      </c>
      <c r="G69" t="inlineStr">
        <is>
          <t>HÄRRYDA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46250</v>
      </c>
      <c r="F70" t="inlineStr">
        <is>
          <t>VÄSTRA GÖTALANDS LÄN</t>
        </is>
      </c>
      <c r="G70" t="inlineStr">
        <is>
          <t>HÄRRYDA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15401-2026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46106</v>
      </c>
      <c r="E71" s="1" t="n">
        <v>46250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46250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46250</v>
      </c>
      <c r="F73" t="inlineStr">
        <is>
          <t>VÄSTRA GÖTALANDS LÄN</t>
        </is>
      </c>
      <c r="G73" t="inlineStr">
        <is>
          <t>HÄRRYDA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46250</v>
      </c>
      <c r="F74" t="inlineStr">
        <is>
          <t>VÄSTRA GÖTALANDS LÄN</t>
        </is>
      </c>
      <c r="G74" t="inlineStr">
        <is>
          <t>HÄRRYDA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44960</v>
      </c>
      <c r="E75" s="1" t="n">
        <v>46250</v>
      </c>
      <c r="F75" t="inlineStr">
        <is>
          <t>VÄSTRA GÖTALANDS LÄN</t>
        </is>
      </c>
      <c r="G75" t="inlineStr">
        <is>
          <t>HÄRRYDA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46250</v>
      </c>
      <c r="F76" t="inlineStr">
        <is>
          <t>VÄSTRA GÖTALANDS LÄN</t>
        </is>
      </c>
      <c r="G76" t="inlineStr">
        <is>
          <t>HÄRRYDA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46250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45994</v>
      </c>
      <c r="E78" s="1" t="n">
        <v>46250</v>
      </c>
      <c r="F78" t="inlineStr">
        <is>
          <t>VÄSTRA GÖTALANDS LÄN</t>
        </is>
      </c>
      <c r="G78" t="inlineStr">
        <is>
          <t>HÄRRYDA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46250</v>
      </c>
      <c r="F79" t="inlineStr">
        <is>
          <t>VÄSTRA GÖTALANDS LÄN</t>
        </is>
      </c>
      <c r="G79" t="inlineStr">
        <is>
          <t>HÄRRYDA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45754</v>
      </c>
      <c r="E80" s="1" t="n">
        <v>46250</v>
      </c>
      <c r="F80" t="inlineStr">
        <is>
          <t>VÄSTRA GÖTALANDS LÄN</t>
        </is>
      </c>
      <c r="G80" t="inlineStr">
        <is>
          <t>HÄRRYDA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46250</v>
      </c>
      <c r="F81" t="inlineStr">
        <is>
          <t>VÄSTRA GÖTALANDS LÄN</t>
        </is>
      </c>
      <c r="G81" t="inlineStr">
        <is>
          <t>HÄRRYDA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45587</v>
      </c>
      <c r="E82" s="1" t="n">
        <v>46250</v>
      </c>
      <c r="F82" t="inlineStr">
        <is>
          <t>VÄSTRA GÖTALANDS LÄN</t>
        </is>
      </c>
      <c r="G82" t="inlineStr">
        <is>
          <t>HÄRRYDA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46250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46250</v>
      </c>
      <c r="F84" t="inlineStr">
        <is>
          <t>VÄSTRA GÖTALANDS LÄN</t>
        </is>
      </c>
      <c r="G84" t="inlineStr">
        <is>
          <t>HÄRRYDA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46250</v>
      </c>
      <c r="F85" t="inlineStr">
        <is>
          <t>VÄSTRA GÖTALANDS LÄN</t>
        </is>
      </c>
      <c r="G85" t="inlineStr">
        <is>
          <t>HÄRRYDA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46250</v>
      </c>
      <c r="F86" t="inlineStr">
        <is>
          <t>VÄSTRA GÖTALANDS LÄN</t>
        </is>
      </c>
      <c r="G86" t="inlineStr">
        <is>
          <t>HÄRRYDA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44826</v>
      </c>
      <c r="E87" s="1" t="n">
        <v>46250</v>
      </c>
      <c r="F87" t="inlineStr">
        <is>
          <t>VÄSTRA GÖTALANDS LÄN</t>
        </is>
      </c>
      <c r="G87" t="inlineStr">
        <is>
          <t>HÄRRYDA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46250</v>
      </c>
      <c r="F88" t="inlineStr">
        <is>
          <t>VÄSTRA GÖTALANDS LÄN</t>
        </is>
      </c>
      <c r="G88" t="inlineStr">
        <is>
          <t>HÄRRYDA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46250</v>
      </c>
      <c r="F89" t="inlineStr">
        <is>
          <t>VÄSTRA GÖTALANDS LÄN</t>
        </is>
      </c>
      <c r="G89" t="inlineStr">
        <is>
          <t>HÄRRYDA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46250</v>
      </c>
      <c r="F90" t="inlineStr">
        <is>
          <t>VÄSTRA GÖTALANDS LÄN</t>
        </is>
      </c>
      <c r="G90" t="inlineStr">
        <is>
          <t>HÄRRYDA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46250</v>
      </c>
      <c r="F91" t="inlineStr">
        <is>
          <t>VÄSTRA GÖTALANDS LÄN</t>
        </is>
      </c>
      <c r="G91" t="inlineStr">
        <is>
          <t>HÄRRYDA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46250</v>
      </c>
      <c r="F92" t="inlineStr">
        <is>
          <t>VÄSTRA GÖTALANDS LÄN</t>
        </is>
      </c>
      <c r="G92" t="inlineStr">
        <is>
          <t>HÄRRYDA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46250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46250</v>
      </c>
      <c r="F94" t="inlineStr">
        <is>
          <t>VÄSTRA GÖTALANDS LÄN</t>
        </is>
      </c>
      <c r="G94" t="inlineStr">
        <is>
          <t>HÄRRYDA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51012-2023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46250</v>
      </c>
      <c r="F95" t="inlineStr">
        <is>
          <t>VÄSTRA GÖTALANDS LÄN</t>
        </is>
      </c>
      <c r="G95" t="inlineStr">
        <is>
          <t>HÄRRYDA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46250</v>
      </c>
      <c r="F96" t="inlineStr">
        <is>
          <t>VÄSTRA GÖTALANDS LÄN</t>
        </is>
      </c>
      <c r="G96" t="inlineStr">
        <is>
          <t>HÄRRYDA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44911</v>
      </c>
      <c r="E97" s="1" t="n">
        <v>46250</v>
      </c>
      <c r="F97" t="inlineStr">
        <is>
          <t>VÄSTRA GÖTALANDS LÄN</t>
        </is>
      </c>
      <c r="G97" t="inlineStr">
        <is>
          <t>HÄRRYDA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45058</v>
      </c>
      <c r="E98" s="1" t="n">
        <v>46250</v>
      </c>
      <c r="F98" t="inlineStr">
        <is>
          <t>VÄSTRA GÖTALANDS LÄN</t>
        </is>
      </c>
      <c r="G98" t="inlineStr">
        <is>
          <t>HÄRRYDA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46250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46250</v>
      </c>
      <c r="F100" t="inlineStr">
        <is>
          <t>VÄSTRA GÖTALANDS LÄN</t>
        </is>
      </c>
      <c r="G100" t="inlineStr">
        <is>
          <t>HÄRRYDA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46250</v>
      </c>
      <c r="F101" t="inlineStr">
        <is>
          <t>VÄSTRA GÖTALANDS LÄN</t>
        </is>
      </c>
      <c r="G101" t="inlineStr">
        <is>
          <t>HÄRRYDA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46250</v>
      </c>
      <c r="F102" t="inlineStr">
        <is>
          <t>VÄSTRA GÖTALANDS LÄN</t>
        </is>
      </c>
      <c r="G102" t="inlineStr">
        <is>
          <t>HÄRRYDA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46250</v>
      </c>
      <c r="F103" t="inlineStr">
        <is>
          <t>VÄSTRA GÖTALANDS LÄN</t>
        </is>
      </c>
      <c r="G103" t="inlineStr">
        <is>
          <t>HÄRRYDA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55071-2023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45237</v>
      </c>
      <c r="E104" s="1" t="n">
        <v>46250</v>
      </c>
      <c r="F104" t="inlineStr">
        <is>
          <t>VÄSTRA GÖTALANDS LÄN</t>
        </is>
      </c>
      <c r="G104" t="inlineStr">
        <is>
          <t>HÄRRYDA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46250</v>
      </c>
      <c r="F105" t="inlineStr">
        <is>
          <t>VÄSTRA GÖTALANDS LÄN</t>
        </is>
      </c>
      <c r="G105" t="inlineStr">
        <is>
          <t>HÄRRYDA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46250</v>
      </c>
      <c r="F106" t="inlineStr">
        <is>
          <t>VÄSTRA GÖTALANDS LÄN</t>
        </is>
      </c>
      <c r="G106" t="inlineStr">
        <is>
          <t>HÄRRYDA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52166-2023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45224</v>
      </c>
      <c r="E107" s="1" t="n">
        <v>46250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69563-2021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46250</v>
      </c>
      <c r="F108" t="inlineStr">
        <is>
          <t>VÄSTRA GÖTALANDS LÄN</t>
        </is>
      </c>
      <c r="G108" t="inlineStr">
        <is>
          <t>HÄRRYDA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46250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46250</v>
      </c>
      <c r="F110" t="inlineStr">
        <is>
          <t>VÄSTRA GÖTALANDS LÄN</t>
        </is>
      </c>
      <c r="G110" t="inlineStr">
        <is>
          <t>HÄRRYDA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46250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46250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46250</v>
      </c>
      <c r="F113" t="inlineStr">
        <is>
          <t>VÄSTRA GÖTALANDS LÄN</t>
        </is>
      </c>
      <c r="G113" t="inlineStr">
        <is>
          <t>HÄRRYDA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45798</v>
      </c>
      <c r="E114" s="1" t="n">
        <v>46250</v>
      </c>
      <c r="F114" t="inlineStr">
        <is>
          <t>VÄSTRA GÖTALANDS LÄN</t>
        </is>
      </c>
      <c r="G114" t="inlineStr">
        <is>
          <t>HÄRRYDA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46250</v>
      </c>
      <c r="F115" t="inlineStr">
        <is>
          <t>VÄSTRA GÖTALANDS LÄN</t>
        </is>
      </c>
      <c r="G115" t="inlineStr">
        <is>
          <t>HÄRRYDA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46250</v>
      </c>
      <c r="F116" t="inlineStr">
        <is>
          <t>VÄSTRA GÖTALANDS LÄN</t>
        </is>
      </c>
      <c r="G116" t="inlineStr">
        <is>
          <t>HÄRRYDA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52043-2024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46250</v>
      </c>
      <c r="F117" t="inlineStr">
        <is>
          <t>VÄSTRA GÖTALANDS LÄN</t>
        </is>
      </c>
      <c r="G117" t="inlineStr">
        <is>
          <t>HÄRRYDA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46250</v>
      </c>
      <c r="F118" t="inlineStr">
        <is>
          <t>VÄSTRA GÖTALANDS LÄN</t>
        </is>
      </c>
      <c r="G118" t="inlineStr">
        <is>
          <t>HÄRRYDA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46250</v>
      </c>
      <c r="F119" t="inlineStr">
        <is>
          <t>VÄSTRA GÖTALANDS LÄN</t>
        </is>
      </c>
      <c r="G119" t="inlineStr">
        <is>
          <t>HÄRRYDA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46250</v>
      </c>
      <c r="F120" t="inlineStr">
        <is>
          <t>VÄSTRA GÖTALANDS LÄN</t>
        </is>
      </c>
      <c r="G120" t="inlineStr">
        <is>
          <t>HÄRRYDA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46225</v>
      </c>
      <c r="E121" s="1" t="n">
        <v>46250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46250</v>
      </c>
      <c r="F122" t="inlineStr">
        <is>
          <t>VÄSTRA GÖTALANDS LÄN</t>
        </is>
      </c>
      <c r="G122" t="inlineStr">
        <is>
          <t>HÄRRYDA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46250</v>
      </c>
      <c r="F123" t="inlineStr">
        <is>
          <t>VÄSTRA GÖTALANDS LÄN</t>
        </is>
      </c>
      <c r="G123" t="inlineStr">
        <is>
          <t>HÄRRYDA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46250</v>
      </c>
      <c r="F124" t="inlineStr">
        <is>
          <t>VÄSTRA GÖTALANDS LÄN</t>
        </is>
      </c>
      <c r="G124" t="inlineStr">
        <is>
          <t>HÄRRYDA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46230</v>
      </c>
      <c r="E125" s="1" t="n">
        <v>46250</v>
      </c>
      <c r="F125" t="inlineStr">
        <is>
          <t>VÄSTRA GÖTALANDS LÄN</t>
        </is>
      </c>
      <c r="G125" t="inlineStr">
        <is>
          <t>HÄRRYDA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46250</v>
      </c>
      <c r="F126" t="inlineStr">
        <is>
          <t>VÄSTRA GÖTALANDS LÄN</t>
        </is>
      </c>
      <c r="G126" t="inlineStr">
        <is>
          <t>HÄRRYDA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46250</v>
      </c>
      <c r="F127" t="inlineStr">
        <is>
          <t>VÄSTRA GÖTALANDS LÄN</t>
        </is>
      </c>
      <c r="G127" t="inlineStr">
        <is>
          <t>HÄRRYDA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46250</v>
      </c>
      <c r="F128" t="inlineStr">
        <is>
          <t>VÄSTRA GÖTALANDS LÄN</t>
        </is>
      </c>
      <c r="G128" t="inlineStr">
        <is>
          <t>HÄRRYDA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46250</v>
      </c>
      <c r="F129" t="inlineStr">
        <is>
          <t>VÄSTRA GÖTALANDS LÄN</t>
        </is>
      </c>
      <c r="G129" t="inlineStr">
        <is>
          <t>HÄRRYDA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46250</v>
      </c>
      <c r="F130" t="inlineStr">
        <is>
          <t>VÄSTRA GÖTALANDS LÄN</t>
        </is>
      </c>
      <c r="G130" t="inlineStr">
        <is>
          <t>HÄRRYDA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46238</v>
      </c>
      <c r="E131" s="1" t="n">
        <v>46250</v>
      </c>
      <c r="F131" t="inlineStr">
        <is>
          <t>VÄSTRA GÖTALANDS LÄN</t>
        </is>
      </c>
      <c r="G131" t="inlineStr">
        <is>
          <t>HÄRRYDA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46238</v>
      </c>
      <c r="E132" s="1" t="n">
        <v>46250</v>
      </c>
      <c r="F132" t="inlineStr">
        <is>
          <t>VÄSTRA GÖTALANDS LÄN</t>
        </is>
      </c>
      <c r="G132" t="inlineStr">
        <is>
          <t>HÄRRYDA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46250</v>
      </c>
      <c r="F133" t="inlineStr">
        <is>
          <t>VÄSTRA GÖTALANDS LÄN</t>
        </is>
      </c>
      <c r="G133" t="inlineStr">
        <is>
          <t>HÄRRYDA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31641-2026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46225</v>
      </c>
      <c r="E134" s="1" t="n">
        <v>46250</v>
      </c>
      <c r="F134" t="inlineStr">
        <is>
          <t>VÄSTRA GÖTALANDS LÄN</t>
        </is>
      </c>
      <c r="G134" t="inlineStr">
        <is>
          <t>HÄRRYDA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46250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2026-08-16T01:47:29Z</dcterms:created>
  <dcterms:modified xmlns:dcterms="http://purl.org/dc/terms/" xmlns:xsi="http://www.w3.org/2001/XMLSchema-instance" xsi:type="dcterms:W3CDTF">2026-08-16T01:47:29Z</dcterms:modified>
</cp:coreProperties>
</file>