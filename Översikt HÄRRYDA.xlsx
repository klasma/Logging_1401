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46235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46235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46235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46235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46235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46235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46235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46235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46235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46235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46235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46235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21398-2023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45063</v>
      </c>
      <c r="E20" s="1" t="n">
        <v>46235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21398-2023 artfynd.xlsx", "A 21398-2023")</f>
        <v/>
      </c>
      <c r="X20">
        <f>HYPERLINK("https://klasma.github.io/Logging_1401/kartor/A 21398-2023 karta.png", "A 21398-2023")</f>
        <v/>
      </c>
      <c r="Y20">
        <f>HYPERLINK("https://klasma.github.io/Logging_1401/kartor_geotiff/A 21398-2023 georefererad karta.tif", "A 21398-2023")</f>
        <v/>
      </c>
      <c r="AA20">
        <f>HYPERLINK("https://klasma.github.io/Logging_1401/klagomål/A 21398-2023 FSC-klagomål.docx", "A 21398-2023")</f>
        <v/>
      </c>
      <c r="AB20">
        <f>HYPERLINK("https://klasma.github.io/Logging_1401/klagomålsmail/A 21398-2023 FSC-klagomål mail.docx", "A 21398-2023")</f>
        <v/>
      </c>
      <c r="AC20">
        <f>HYPERLINK("https://klasma.github.io/Logging_1401/tillsyn/A 21398-2023 tillsynsbegäran.docx", "A 21398-2023")</f>
        <v/>
      </c>
      <c r="AD20">
        <f>HYPERLINK("https://klasma.github.io/Logging_1401/tillsynsmail/A 21398-2023 tillsynsbegäran mail.docx", "A 21398-2023")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46235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3</v>
      </c>
      <c r="V21" s="2" t="inlineStr">
        <is>
          <t>Tjäder</t>
        </is>
      </c>
      <c r="W21">
        <f>HYPERLINK("https://klasma.github.io/Logging_1401/artfynd/A 55686-2023 artfynd.xlsx", "A 55686-2023")</f>
        <v/>
      </c>
      <c r="X21">
        <f>HYPERLINK("https://klasma.github.io/Logging_1401/kartor/A 55686-2023 karta.png", "A 55686-2023")</f>
        <v/>
      </c>
      <c r="Y21">
        <f>HYPERLINK("https://klasma.github.io/Logging_1401/kartor_geotiff/A 55686-2023 georefererad karta.tif", "A 55686-2023")</f>
        <v/>
      </c>
      <c r="AA21">
        <f>HYPERLINK("https://klasma.github.io/Logging_1401/klagomål/A 55686-2023 FSC-klagomål.docx", "A 55686-2023")</f>
        <v/>
      </c>
      <c r="AB21">
        <f>HYPERLINK("https://klasma.github.io/Logging_1401/klagomålsmail/A 55686-2023 FSC-klagomål mail.docx", "A 55686-2023")</f>
        <v/>
      </c>
      <c r="AC21">
        <f>HYPERLINK("https://klasma.github.io/Logging_1401/tillsyn/A 55686-2023 tillsynsbegäran.docx", "A 55686-2023")</f>
        <v/>
      </c>
      <c r="AD21">
        <f>HYPERLINK("https://klasma.github.io/Logging_1401/tillsynsmail/A 55686-2023 tillsynsbegäran mail.docx", "A 55686-2023")</f>
        <v/>
      </c>
      <c r="AE21">
        <f>HYPERLINK("https://klasma.github.io/Logging_1401/fåglar/A 55686-2023 prioriterade fågelarter.docx", "A 55686-2023")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46235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46235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46235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46235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52164-2023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46235</v>
      </c>
      <c r="F26" t="inlineStr">
        <is>
          <t>VÄSTRA GÖTALANDS LÄN</t>
        </is>
      </c>
      <c r="G26" t="inlineStr">
        <is>
          <t>HÄRRYDA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Klippfrullania</t>
        </is>
      </c>
      <c r="W26">
        <f>HYPERLINK("https://klasma.github.io/Logging_1401/artfynd/A 52164-2023 artfynd.xlsx", "A 52164-2023")</f>
        <v/>
      </c>
      <c r="X26">
        <f>HYPERLINK("https://klasma.github.io/Logging_1401/kartor/A 52164-2023 karta.png", "A 52164-2023")</f>
        <v/>
      </c>
      <c r="Y26">
        <f>HYPERLINK("https://klasma.github.io/Logging_1401/kartor_geotiff/A 52164-2023 georefererad karta.tif", "A 52164-2023")</f>
        <v/>
      </c>
      <c r="AA26">
        <f>HYPERLINK("https://klasma.github.io/Logging_1401/klagomål/A 52164-2023 FSC-klagomål.docx", "A 52164-2023")</f>
        <v/>
      </c>
      <c r="AB26">
        <f>HYPERLINK("https://klasma.github.io/Logging_1401/klagomålsmail/A 52164-2023 FSC-klagomål mail.docx", "A 52164-2023")</f>
        <v/>
      </c>
      <c r="AC26">
        <f>HYPERLINK("https://klasma.github.io/Logging_1401/tillsyn/A 52164-2023 tillsynsbegäran.docx", "A 52164-2023")</f>
        <v/>
      </c>
      <c r="AD26">
        <f>HYPERLINK("https://klasma.github.io/Logging_1401/tillsynsmail/A 52164-2023 tillsynsbegäran mail.docx", "A 52164-2023")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46235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46235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46235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46235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46235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46235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46235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46235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46235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46235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46235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46235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46235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46235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44873</v>
      </c>
      <c r="E41" s="1" t="n">
        <v>46235</v>
      </c>
      <c r="F41" t="inlineStr">
        <is>
          <t>VÄSTRA GÖTALANDS LÄN</t>
        </is>
      </c>
      <c r="G41" t="inlineStr">
        <is>
          <t>HÄRRYDA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46235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71648-2021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46235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46235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46235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46235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46235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46235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46235</v>
      </c>
      <c r="F49" t="inlineStr">
        <is>
          <t>VÄSTRA GÖTALANDS LÄN</t>
        </is>
      </c>
      <c r="G49" t="inlineStr">
        <is>
          <t>HÄRRYDA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46235</v>
      </c>
      <c r="F50" t="inlineStr">
        <is>
          <t>VÄSTRA GÖTALANDS LÄN</t>
        </is>
      </c>
      <c r="G50" t="inlineStr">
        <is>
          <t>HÄRRYDA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46235</v>
      </c>
      <c r="F51" t="inlineStr">
        <is>
          <t>VÄSTRA GÖTALANDS LÄN</t>
        </is>
      </c>
      <c r="G51" t="inlineStr">
        <is>
          <t>HÄRRYDA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46235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46235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46235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46235</v>
      </c>
      <c r="F55" t="inlineStr">
        <is>
          <t>VÄSTRA GÖTALANDS LÄN</t>
        </is>
      </c>
      <c r="G55" t="inlineStr">
        <is>
          <t>HÄRRYDA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46235</v>
      </c>
      <c r="F56" t="inlineStr">
        <is>
          <t>VÄSTRA GÖTALANDS LÄN</t>
        </is>
      </c>
      <c r="G56" t="inlineStr">
        <is>
          <t>HÄRRYDA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46235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46235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46235</v>
      </c>
      <c r="F59" t="inlineStr">
        <is>
          <t>VÄSTRA GÖTALANDS LÄN</t>
        </is>
      </c>
      <c r="G59" t="inlineStr">
        <is>
          <t>HÄRRYDA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46235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44960</v>
      </c>
      <c r="E61" s="1" t="n">
        <v>46235</v>
      </c>
      <c r="F61" t="inlineStr">
        <is>
          <t>VÄSTRA GÖTALANDS LÄN</t>
        </is>
      </c>
      <c r="G61" t="inlineStr">
        <is>
          <t>HÄRRYDA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46235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46235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46235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46235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46235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46235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46235</v>
      </c>
      <c r="F68" t="inlineStr">
        <is>
          <t>VÄSTRA GÖTALANDS LÄN</t>
        </is>
      </c>
      <c r="G68" t="inlineStr">
        <is>
          <t>HÄRRYDA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46235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46235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46235</v>
      </c>
      <c r="F71" t="inlineStr">
        <is>
          <t>VÄSTRA GÖTALANDS LÄN</t>
        </is>
      </c>
      <c r="G71" t="inlineStr">
        <is>
          <t>HÄRRYDA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46235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46235</v>
      </c>
      <c r="F73" t="inlineStr">
        <is>
          <t>VÄSTRA GÖTALANDS LÄN</t>
        </is>
      </c>
      <c r="G73" t="inlineStr">
        <is>
          <t>HÄRRYDA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46235</v>
      </c>
      <c r="F74" t="inlineStr">
        <is>
          <t>VÄSTRA GÖTALANDS LÄN</t>
        </is>
      </c>
      <c r="G74" t="inlineStr">
        <is>
          <t>HÄRRYDA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46235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46235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46235</v>
      </c>
      <c r="F77" t="inlineStr">
        <is>
          <t>VÄSTRA GÖTALANDS LÄN</t>
        </is>
      </c>
      <c r="G77" t="inlineStr">
        <is>
          <t>HÄRRYDA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46235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46235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46235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30846-2026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46212</v>
      </c>
      <c r="E81" s="1" t="n">
        <v>46235</v>
      </c>
      <c r="F81" t="inlineStr">
        <is>
          <t>VÄSTRA GÖTALANDS LÄN</t>
        </is>
      </c>
      <c r="G81" t="inlineStr">
        <is>
          <t>HÄRRYDA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46235</v>
      </c>
      <c r="F82" t="inlineStr">
        <is>
          <t>VÄSTRA GÖTALANDS LÄN</t>
        </is>
      </c>
      <c r="G82" t="inlineStr">
        <is>
          <t>HÄRRYDA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46235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46235</v>
      </c>
      <c r="F84" t="inlineStr">
        <is>
          <t>VÄSTRA GÖTALANDS LÄN</t>
        </is>
      </c>
      <c r="G84" t="inlineStr">
        <is>
          <t>HÄRRYDA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46235</v>
      </c>
      <c r="F85" t="inlineStr">
        <is>
          <t>VÄSTRA GÖTALANDS LÄN</t>
        </is>
      </c>
      <c r="G85" t="inlineStr">
        <is>
          <t>HÄRRYDA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46235</v>
      </c>
      <c r="F86" t="inlineStr">
        <is>
          <t>VÄSTRA GÖTALANDS LÄN</t>
        </is>
      </c>
      <c r="G86" t="inlineStr">
        <is>
          <t>HÄRRYDA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46235</v>
      </c>
      <c r="F87" t="inlineStr">
        <is>
          <t>VÄSTRA GÖTALANDS LÄN</t>
        </is>
      </c>
      <c r="G87" t="inlineStr">
        <is>
          <t>HÄRRYDA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44911</v>
      </c>
      <c r="E88" s="1" t="n">
        <v>46235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45704</v>
      </c>
      <c r="E89" s="1" t="n">
        <v>46235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46235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46235</v>
      </c>
      <c r="F91" t="inlineStr">
        <is>
          <t>VÄSTRA GÖTALANDS LÄN</t>
        </is>
      </c>
      <c r="G91" t="inlineStr">
        <is>
          <t>HÄRRYDA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46235</v>
      </c>
      <c r="F92" t="inlineStr">
        <is>
          <t>VÄSTRA GÖTALANDS LÄN</t>
        </is>
      </c>
      <c r="G92" t="inlineStr">
        <is>
          <t>HÄRRYDA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46235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46235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45237</v>
      </c>
      <c r="E95" s="1" t="n">
        <v>46235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46235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46235</v>
      </c>
      <c r="F97" t="inlineStr">
        <is>
          <t>VÄSTRA GÖTALANDS LÄN</t>
        </is>
      </c>
      <c r="G97" t="inlineStr">
        <is>
          <t>HÄRRYDA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46235</v>
      </c>
      <c r="F98" t="inlineStr">
        <is>
          <t>VÄSTRA GÖTALANDS LÄN</t>
        </is>
      </c>
      <c r="G98" t="inlineStr">
        <is>
          <t>HÄRRYDA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46235</v>
      </c>
      <c r="F99" t="inlineStr">
        <is>
          <t>VÄSTRA GÖTALANDS LÄN</t>
        </is>
      </c>
      <c r="G99" t="inlineStr">
        <is>
          <t>HÄRRYDA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46225</v>
      </c>
      <c r="E100" s="1" t="n">
        <v>46235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46235</v>
      </c>
      <c r="F101" t="inlineStr">
        <is>
          <t>VÄSTRA GÖTALANDS LÄN</t>
        </is>
      </c>
      <c r="G101" t="inlineStr">
        <is>
          <t>HÄRRYDA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46235</v>
      </c>
      <c r="F102" t="inlineStr">
        <is>
          <t>VÄSTRA GÖTALANDS LÄN</t>
        </is>
      </c>
      <c r="G102" t="inlineStr">
        <is>
          <t>HÄRRYDA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46235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46235</v>
      </c>
      <c r="F104" t="inlineStr">
        <is>
          <t>VÄSTRA GÖTALANDS LÄN</t>
        </is>
      </c>
      <c r="G104" t="inlineStr">
        <is>
          <t>HÄRRYDA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46235</v>
      </c>
      <c r="F105" t="inlineStr">
        <is>
          <t>VÄSTRA GÖTALANDS LÄN</t>
        </is>
      </c>
      <c r="G105" t="inlineStr">
        <is>
          <t>HÄRRYDA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46235</v>
      </c>
      <c r="F106" t="inlineStr">
        <is>
          <t>VÄSTRA GÖTALANDS LÄN</t>
        </is>
      </c>
      <c r="G106" t="inlineStr">
        <is>
          <t>HÄRRYDA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46235</v>
      </c>
      <c r="F107" t="inlineStr">
        <is>
          <t>VÄSTRA GÖTALANDS LÄN</t>
        </is>
      </c>
      <c r="G107" t="inlineStr">
        <is>
          <t>HÄRRYDA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46235</v>
      </c>
      <c r="F108" t="inlineStr">
        <is>
          <t>VÄSTRA GÖTALANDS LÄN</t>
        </is>
      </c>
      <c r="G108" t="inlineStr">
        <is>
          <t>HÄRRYDA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46235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46235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46098</v>
      </c>
      <c r="E111" s="1" t="n">
        <v>46235</v>
      </c>
      <c r="F111" t="inlineStr">
        <is>
          <t>VÄSTRA GÖTALANDS LÄN</t>
        </is>
      </c>
      <c r="G111" t="inlineStr">
        <is>
          <t>HÄRRYDA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46235</v>
      </c>
      <c r="F112" t="inlineStr">
        <is>
          <t>VÄSTRA GÖTALANDS LÄN</t>
        </is>
      </c>
      <c r="G112" t="inlineStr">
        <is>
          <t>HÄRRYDA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46235</v>
      </c>
      <c r="F113" t="inlineStr">
        <is>
          <t>VÄSTRA GÖTALANDS LÄN</t>
        </is>
      </c>
      <c r="G113" t="inlineStr">
        <is>
          <t>HÄRRYDA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46107</v>
      </c>
      <c r="E114" s="1" t="n">
        <v>46235</v>
      </c>
      <c r="F114" t="inlineStr">
        <is>
          <t>VÄSTRA GÖTALANDS LÄN</t>
        </is>
      </c>
      <c r="G114" t="inlineStr">
        <is>
          <t>HÄRRYDA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46235</v>
      </c>
      <c r="F115" t="inlineStr">
        <is>
          <t>VÄSTRA GÖTALANDS LÄN</t>
        </is>
      </c>
      <c r="G115" t="inlineStr">
        <is>
          <t>HÄRRYDA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46107</v>
      </c>
      <c r="E116" s="1" t="n">
        <v>46235</v>
      </c>
      <c r="F116" t="inlineStr">
        <is>
          <t>VÄSTRA GÖTALANDS LÄN</t>
        </is>
      </c>
      <c r="G116" t="inlineStr">
        <is>
          <t>HÄRRYDA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46106</v>
      </c>
      <c r="E117" s="1" t="n">
        <v>46235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46235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46235</v>
      </c>
      <c r="F119" t="inlineStr">
        <is>
          <t>VÄSTRA GÖTALANDS LÄN</t>
        </is>
      </c>
      <c r="G119" t="inlineStr">
        <is>
          <t>HÄRRYDA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46235</v>
      </c>
      <c r="F120" t="inlineStr">
        <is>
          <t>VÄSTRA GÖTALANDS LÄN</t>
        </is>
      </c>
      <c r="G120" t="inlineStr">
        <is>
          <t>HÄRRYDA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45307</v>
      </c>
      <c r="E121" s="1" t="n">
        <v>46235</v>
      </c>
      <c r="F121" t="inlineStr">
        <is>
          <t>VÄSTRA GÖTALANDS LÄN</t>
        </is>
      </c>
      <c r="G121" t="inlineStr">
        <is>
          <t>HÄRRYDA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46235</v>
      </c>
      <c r="F122" t="inlineStr">
        <is>
          <t>VÄSTRA GÖTALANDS LÄN</t>
        </is>
      </c>
      <c r="G122" t="inlineStr">
        <is>
          <t>HÄRRYDA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46235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46235</v>
      </c>
      <c r="F124" t="inlineStr">
        <is>
          <t>VÄSTRA GÖTALANDS LÄN</t>
        </is>
      </c>
      <c r="G124" t="inlineStr">
        <is>
          <t>HÄRRYDA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45651</v>
      </c>
      <c r="E125" s="1" t="n">
        <v>46235</v>
      </c>
      <c r="F125" t="inlineStr">
        <is>
          <t>VÄSTRA GÖTALANDS LÄN</t>
        </is>
      </c>
      <c r="G125" t="inlineStr">
        <is>
          <t>HÄRRYDA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46235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46235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46235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46235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46235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46235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46235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2026-08-01T01:47:33Z</dcterms:created>
  <dcterms:modified xmlns:dcterms="http://purl.org/dc/terms/" xmlns:xsi="http://www.w3.org/2001/XMLSchema-instance" xsi:type="dcterms:W3CDTF">2026-08-01T01:47:33Z</dcterms:modified>
</cp:coreProperties>
</file>