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46182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46182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27482-2025</t>
        </is>
      </c>
      <c r="B8" s="1" t="n">
        <v>45813.38332175926</v>
      </c>
      <c r="C8" s="1" t="n">
        <v>46182</v>
      </c>
      <c r="D8" t="inlineStr">
        <is>
          <t>VÄSTRA GÖTALANDS LÄN</t>
        </is>
      </c>
      <c r="E8" t="inlineStr">
        <is>
          <t>HÄRRYDA</t>
        </is>
      </c>
      <c r="G8" t="n">
        <v>14.1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HYPERLINK("https://klasma.github.io/Logging_1401/artfynd/A 27482-2025 artfynd.xlsx", "A 27482-2025")</f>
        <v/>
      </c>
      <c r="T8">
        <f>HYPERLINK("https://klasma.github.io/Logging_1401/kartor/A 27482-2025 karta.png", "A 27482-2025")</f>
        <v/>
      </c>
      <c r="V8">
        <f>HYPERLINK("https://klasma.github.io/Logging_1401/klagomål/A 27482-2025 FSC-klagomål.docx", "A 27482-2025")</f>
        <v/>
      </c>
      <c r="W8">
        <f>HYPERLINK("https://klasma.github.io/Logging_1401/klagomålsmail/A 27482-2025 FSC-klagomål mail.docx", "A 27482-2025")</f>
        <v/>
      </c>
      <c r="X8">
        <f>HYPERLINK("https://klasma.github.io/Logging_1401/tillsyn/A 27482-2025 tillsynsbegäran.docx", "A 27482-2025")</f>
        <v/>
      </c>
      <c r="Y8">
        <f>HYPERLINK("https://klasma.github.io/Logging_1401/tillsynsmail/A 27482-2025 tillsynsbegäran mail.docx", "A 27482-2025")</f>
        <v/>
      </c>
    </row>
    <row r="9" ht="15" customHeight="1">
      <c r="A9" t="inlineStr">
        <is>
          <t>A 14259-2025</t>
        </is>
      </c>
      <c r="B9" s="1" t="n">
        <v>45740.62429398148</v>
      </c>
      <c r="C9" s="1" t="n">
        <v>46182</v>
      </c>
      <c r="D9" t="inlineStr">
        <is>
          <t>VÄSTRA GÖTALANDS LÄN</t>
        </is>
      </c>
      <c r="E9" t="inlineStr">
        <is>
          <t>HÄRRYDA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HYPERLINK("https://klasma.github.io/Logging_1401/artfynd/A 14259-2025 artfynd.xlsx", "A 14259-2025")</f>
        <v/>
      </c>
      <c r="T9">
        <f>HYPERLINK("https://klasma.github.io/Logging_1401/kartor/A 14259-2025 karta.png", "A 14259-2025")</f>
        <v/>
      </c>
      <c r="V9">
        <f>HYPERLINK("https://klasma.github.io/Logging_1401/klagomål/A 14259-2025 FSC-klagomål.docx", "A 14259-2025")</f>
        <v/>
      </c>
      <c r="W9">
        <f>HYPERLINK("https://klasma.github.io/Logging_1401/klagomålsmail/A 14259-2025 FSC-klagomål mail.docx", "A 14259-2025")</f>
        <v/>
      </c>
      <c r="X9">
        <f>HYPERLINK("https://klasma.github.io/Logging_1401/tillsyn/A 14259-2025 tillsynsbegäran.docx", "A 14259-2025")</f>
        <v/>
      </c>
      <c r="Y9">
        <f>HYPERLINK("https://klasma.github.io/Logging_1401/tillsynsmail/A 14259-2025 tillsynsbegäran mail.docx", "A 14259-2025")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46182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46182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46182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15249-2026</t>
        </is>
      </c>
      <c r="B13" s="1" t="n">
        <v>46105</v>
      </c>
      <c r="C13" s="1" t="n">
        <v>46182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46182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46182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46182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46182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46182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46182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46182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46182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46182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46182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46182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71648-2021</t>
        </is>
      </c>
      <c r="B25" s="1" t="n">
        <v>44543.354375</v>
      </c>
      <c r="C25" s="1" t="n">
        <v>46182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52045-2022</t>
        </is>
      </c>
      <c r="B26" s="1" t="n">
        <v>44873.31652777778</v>
      </c>
      <c r="C26" s="1" t="n">
        <v>46182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19782-2022</t>
        </is>
      </c>
      <c r="B27" s="1" t="n">
        <v>44694</v>
      </c>
      <c r="C27" s="1" t="n">
        <v>46182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5985-2024</t>
        </is>
      </c>
      <c r="B28" s="1" t="n">
        <v>45336.56657407407</v>
      </c>
      <c r="C28" s="1" t="n">
        <v>46182</v>
      </c>
      <c r="D28" t="inlineStr">
        <is>
          <t>VÄSTRA GÖTALANDS LÄN</t>
        </is>
      </c>
      <c r="E28" t="inlineStr">
        <is>
          <t>HÄRRYDA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15683-2022</t>
        </is>
      </c>
      <c r="B29" s="1" t="n">
        <v>44663</v>
      </c>
      <c r="C29" s="1" t="n">
        <v>46182</v>
      </c>
      <c r="D29" t="inlineStr">
        <is>
          <t>VÄSTRA GÖTALANDS LÄN</t>
        </is>
      </c>
      <c r="E29" t="inlineStr">
        <is>
          <t>HÄRRYDA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23492-2022</t>
        </is>
      </c>
      <c r="B30" s="1" t="n">
        <v>44721.36030092592</v>
      </c>
      <c r="C30" s="1" t="n">
        <v>46182</v>
      </c>
      <c r="D30" t="inlineStr">
        <is>
          <t>VÄSTRA GÖTALANDS LÄN</t>
        </is>
      </c>
      <c r="E30" t="inlineStr">
        <is>
          <t>HÄRRYDA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64560-2023</t>
        </is>
      </c>
      <c r="B31" s="1" t="n">
        <v>45281.4116087963</v>
      </c>
      <c r="C31" s="1" t="n">
        <v>46182</v>
      </c>
      <c r="D31" t="inlineStr">
        <is>
          <t>VÄSTRA GÖTALANDS LÄN</t>
        </is>
      </c>
      <c r="E31" t="inlineStr">
        <is>
          <t>HÄRRYDA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58481-2022</t>
        </is>
      </c>
      <c r="B32" s="1" t="n">
        <v>44902</v>
      </c>
      <c r="C32" s="1" t="n">
        <v>46182</v>
      </c>
      <c r="D32" t="inlineStr">
        <is>
          <t>VÄSTRA GÖTALANDS LÄN</t>
        </is>
      </c>
      <c r="E32" t="inlineStr">
        <is>
          <t>HÄRRYDA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63592-2021</t>
        </is>
      </c>
      <c r="B33" s="1" t="n">
        <v>44508</v>
      </c>
      <c r="C33" s="1" t="n">
        <v>46182</v>
      </c>
      <c r="D33" t="inlineStr">
        <is>
          <t>VÄSTRA GÖTALANDS LÄN</t>
        </is>
      </c>
      <c r="E33" t="inlineStr">
        <is>
          <t>HÄRRYDA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41457-2023</t>
        </is>
      </c>
      <c r="B34" s="1" t="n">
        <v>45175</v>
      </c>
      <c r="C34" s="1" t="n">
        <v>46182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3753-2024</t>
        </is>
      </c>
      <c r="B35" s="1" t="n">
        <v>45321.54748842592</v>
      </c>
      <c r="C35" s="1" t="n">
        <v>46182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46182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26992-2025</t>
        </is>
      </c>
      <c r="B37" s="1" t="n">
        <v>45811.52253472222</v>
      </c>
      <c r="C37" s="1" t="n">
        <v>46182</v>
      </c>
      <c r="D37" t="inlineStr">
        <is>
          <t>VÄSTRA GÖTALANDS LÄN</t>
        </is>
      </c>
      <c r="E37" t="inlineStr">
        <is>
          <t>HÄRRYDA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27513-2025</t>
        </is>
      </c>
      <c r="B38" s="1" t="n">
        <v>45813.42880787037</v>
      </c>
      <c r="C38" s="1" t="n">
        <v>46182</v>
      </c>
      <c r="D38" t="inlineStr">
        <is>
          <t>VÄSTRA GÖTALANDS LÄN</t>
        </is>
      </c>
      <c r="E38" t="inlineStr">
        <is>
          <t>HÄRRYDA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51162-2023</t>
        </is>
      </c>
      <c r="B39" s="1" t="n">
        <v>45219</v>
      </c>
      <c r="C39" s="1" t="n">
        <v>46182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11697-2024</t>
        </is>
      </c>
      <c r="B40" s="1" t="n">
        <v>45373.60171296296</v>
      </c>
      <c r="C40" s="1" t="n">
        <v>46182</v>
      </c>
      <c r="D40" t="inlineStr">
        <is>
          <t>VÄSTRA GÖTALANDS LÄN</t>
        </is>
      </c>
      <c r="E40" t="inlineStr">
        <is>
          <t>HÄRRYDA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1807-2024</t>
        </is>
      </c>
      <c r="B41" s="1" t="n">
        <v>45307.59741898148</v>
      </c>
      <c r="C41" s="1" t="n">
        <v>46182</v>
      </c>
      <c r="D41" t="inlineStr">
        <is>
          <t>VÄSTRA GÖTALANDS LÄN</t>
        </is>
      </c>
      <c r="E41" t="inlineStr">
        <is>
          <t>HÄRRYDA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19977-2022</t>
        </is>
      </c>
      <c r="B42" s="1" t="n">
        <v>44697</v>
      </c>
      <c r="C42" s="1" t="n">
        <v>46182</v>
      </c>
      <c r="D42" t="inlineStr">
        <is>
          <t>VÄSTRA GÖTALANDS LÄN</t>
        </is>
      </c>
      <c r="E42" t="inlineStr">
        <is>
          <t>HÄRRYDA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56558-2024</t>
        </is>
      </c>
      <c r="B43" s="1" t="n">
        <v>45625.57997685186</v>
      </c>
      <c r="C43" s="1" t="n">
        <v>46182</v>
      </c>
      <c r="D43" t="inlineStr">
        <is>
          <t>VÄSTRA GÖTALANDS LÄN</t>
        </is>
      </c>
      <c r="E43" t="inlineStr">
        <is>
          <t>HÄRRYDA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25439-2022</t>
        </is>
      </c>
      <c r="B44" s="1" t="n">
        <v>44732.48712962963</v>
      </c>
      <c r="C44" s="1" t="n">
        <v>46182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9491-2025</t>
        </is>
      </c>
      <c r="B45" s="1" t="n">
        <v>45715.4965162037</v>
      </c>
      <c r="C45" s="1" t="n">
        <v>46182</v>
      </c>
      <c r="D45" t="inlineStr">
        <is>
          <t>VÄSTRA GÖTALANDS LÄN</t>
        </is>
      </c>
      <c r="E45" t="inlineStr">
        <is>
          <t>HÄRRYDA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5630-2023</t>
        </is>
      </c>
      <c r="B46" s="1" t="n">
        <v>44960</v>
      </c>
      <c r="C46" s="1" t="n">
        <v>46182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40306-2025</t>
        </is>
      </c>
      <c r="B47" s="1" t="n">
        <v>45895.40923611111</v>
      </c>
      <c r="C47" s="1" t="n">
        <v>46182</v>
      </c>
      <c r="D47" t="inlineStr">
        <is>
          <t>VÄSTRA GÖTALANDS LÄN</t>
        </is>
      </c>
      <c r="E47" t="inlineStr">
        <is>
          <t>HÄRRYDA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40273-2025</t>
        </is>
      </c>
      <c r="B48" s="1" t="n">
        <v>45895.34994212963</v>
      </c>
      <c r="C48" s="1" t="n">
        <v>46182</v>
      </c>
      <c r="D48" t="inlineStr">
        <is>
          <t>VÄSTRA GÖTALANDS LÄN</t>
        </is>
      </c>
      <c r="E48" t="inlineStr">
        <is>
          <t>HÄRRYDA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46182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51127-2023</t>
        </is>
      </c>
      <c r="B50" s="1" t="n">
        <v>45219</v>
      </c>
      <c r="C50" s="1" t="n">
        <v>46182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51130-2023</t>
        </is>
      </c>
      <c r="B51" s="1" t="n">
        <v>45219</v>
      </c>
      <c r="C51" s="1" t="n">
        <v>46182</v>
      </c>
      <c r="D51" t="inlineStr">
        <is>
          <t>VÄSTRA GÖTALANDS LÄN</t>
        </is>
      </c>
      <c r="E51" t="inlineStr">
        <is>
          <t>HÄRRYDA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14468-2023</t>
        </is>
      </c>
      <c r="B52" s="1" t="n">
        <v>45012.65208333333</v>
      </c>
      <c r="C52" s="1" t="n">
        <v>46182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2605-2024</t>
        </is>
      </c>
      <c r="B53" s="1" t="n">
        <v>45313.7355787037</v>
      </c>
      <c r="C53" s="1" t="n">
        <v>46182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21398-2023</t>
        </is>
      </c>
      <c r="B54" s="1" t="n">
        <v>45063</v>
      </c>
      <c r="C54" s="1" t="n">
        <v>46182</v>
      </c>
      <c r="D54" t="inlineStr">
        <is>
          <t>VÄSTRA GÖTALANDS LÄN</t>
        </is>
      </c>
      <c r="E54" t="inlineStr">
        <is>
          <t>HÄRRYDA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46182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57269-2024</t>
        </is>
      </c>
      <c r="B56" s="1" t="n">
        <v>45629.57262731482</v>
      </c>
      <c r="C56" s="1" t="n">
        <v>46182</v>
      </c>
      <c r="D56" t="inlineStr">
        <is>
          <t>VÄSTRA GÖTALANDS LÄN</t>
        </is>
      </c>
      <c r="E56" t="inlineStr">
        <is>
          <t>HÄRRYDA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35404-2025</t>
        </is>
      </c>
      <c r="B57" s="1" t="n">
        <v>45855.35253472222</v>
      </c>
      <c r="C57" s="1" t="n">
        <v>46182</v>
      </c>
      <c r="D57" t="inlineStr">
        <is>
          <t>VÄSTRA GÖTALANDS LÄN</t>
        </is>
      </c>
      <c r="E57" t="inlineStr">
        <is>
          <t>HÄRRYDA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51154-2023</t>
        </is>
      </c>
      <c r="B58" s="1" t="n">
        <v>45219</v>
      </c>
      <c r="C58" s="1" t="n">
        <v>46182</v>
      </c>
      <c r="D58" t="inlineStr">
        <is>
          <t>VÄSTRA GÖTALANDS LÄN</t>
        </is>
      </c>
      <c r="E58" t="inlineStr">
        <is>
          <t>HÄRRYDA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46182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16509-2025</t>
        </is>
      </c>
      <c r="B60" s="1" t="n">
        <v>45751.61958333333</v>
      </c>
      <c r="C60" s="1" t="n">
        <v>46182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34665-2023</t>
        </is>
      </c>
      <c r="B61" s="1" t="n">
        <v>45140.81900462963</v>
      </c>
      <c r="C61" s="1" t="n">
        <v>46182</v>
      </c>
      <c r="D61" t="inlineStr">
        <is>
          <t>VÄSTRA GÖTALANDS LÄN</t>
        </is>
      </c>
      <c r="E61" t="inlineStr">
        <is>
          <t>HÄRRYDA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32866-2022</t>
        </is>
      </c>
      <c r="B62" s="1" t="n">
        <v>44784.50711805555</v>
      </c>
      <c r="C62" s="1" t="n">
        <v>46182</v>
      </c>
      <c r="D62" t="inlineStr">
        <is>
          <t>VÄSTRA GÖTALANDS LÄN</t>
        </is>
      </c>
      <c r="E62" t="inlineStr">
        <is>
          <t>HÄRRYDA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65080-2023</t>
        </is>
      </c>
      <c r="B63" s="1" t="n">
        <v>45287</v>
      </c>
      <c r="C63" s="1" t="n">
        <v>46182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46349-2025</t>
        </is>
      </c>
      <c r="B64" s="1" t="n">
        <v>45925.48078703704</v>
      </c>
      <c r="C64" s="1" t="n">
        <v>46182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59711-2022</t>
        </is>
      </c>
      <c r="B65" s="1" t="n">
        <v>44908.40974537037</v>
      </c>
      <c r="C65" s="1" t="n">
        <v>46182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4433-2025</t>
        </is>
      </c>
      <c r="B66" s="1" t="n">
        <v>45686.49392361111</v>
      </c>
      <c r="C66" s="1" t="n">
        <v>46182</v>
      </c>
      <c r="D66" t="inlineStr">
        <is>
          <t>VÄSTRA GÖTALANDS LÄN</t>
        </is>
      </c>
      <c r="E66" t="inlineStr">
        <is>
          <t>HÄRRYDA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9492-2025</t>
        </is>
      </c>
      <c r="B67" s="1" t="n">
        <v>45715.49974537037</v>
      </c>
      <c r="C67" s="1" t="n">
        <v>46182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9494-2025</t>
        </is>
      </c>
      <c r="B68" s="1" t="n">
        <v>45715.503125</v>
      </c>
      <c r="C68" s="1" t="n">
        <v>46182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48538-2025</t>
        </is>
      </c>
      <c r="B69" s="1" t="n">
        <v>45936.41079861111</v>
      </c>
      <c r="C69" s="1" t="n">
        <v>46182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40053-2023</t>
        </is>
      </c>
      <c r="B70" s="1" t="n">
        <v>45168.72297453704</v>
      </c>
      <c r="C70" s="1" t="n">
        <v>46182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48440-2025</t>
        </is>
      </c>
      <c r="B71" s="1" t="n">
        <v>45935.51550925926</v>
      </c>
      <c r="C71" s="1" t="n">
        <v>46182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48432-2025</t>
        </is>
      </c>
      <c r="B72" s="1" t="n">
        <v>45934.89319444444</v>
      </c>
      <c r="C72" s="1" t="n">
        <v>46182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12090-2024</t>
        </is>
      </c>
      <c r="B73" s="1" t="n">
        <v>45377.56537037037</v>
      </c>
      <c r="C73" s="1" t="n">
        <v>46182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47362-2024</t>
        </is>
      </c>
      <c r="B74" s="1" t="n">
        <v>45587.4371875</v>
      </c>
      <c r="C74" s="1" t="n">
        <v>46182</v>
      </c>
      <c r="D74" t="inlineStr">
        <is>
          <t>VÄSTRA GÖTALANDS LÄN</t>
        </is>
      </c>
      <c r="E74" t="inlineStr">
        <is>
          <t>HÄRRYDA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20727-2023</t>
        </is>
      </c>
      <c r="B75" s="1" t="n">
        <v>45058.48152777777</v>
      </c>
      <c r="C75" s="1" t="n">
        <v>46182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55071-2023</t>
        </is>
      </c>
      <c r="B76" s="1" t="n">
        <v>45237</v>
      </c>
      <c r="C76" s="1" t="n">
        <v>46182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51501-2025</t>
        </is>
      </c>
      <c r="B77" s="1" t="n">
        <v>45950.63748842593</v>
      </c>
      <c r="C77" s="1" t="n">
        <v>46182</v>
      </c>
      <c r="D77" t="inlineStr">
        <is>
          <t>VÄSTRA GÖTALANDS LÄN</t>
        </is>
      </c>
      <c r="E77" t="inlineStr">
        <is>
          <t>HÄRRYDA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52164-2023</t>
        </is>
      </c>
      <c r="B78" s="1" t="n">
        <v>45224</v>
      </c>
      <c r="C78" s="1" t="n">
        <v>46182</v>
      </c>
      <c r="D78" t="inlineStr">
        <is>
          <t>VÄSTRA GÖTALANDS LÄN</t>
        </is>
      </c>
      <c r="E78" t="inlineStr">
        <is>
          <t>HÄRRYDA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52166-2023</t>
        </is>
      </c>
      <c r="B79" s="1" t="n">
        <v>45224.3316550926</v>
      </c>
      <c r="C79" s="1" t="n">
        <v>46182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29697-2023</t>
        </is>
      </c>
      <c r="B80" s="1" t="n">
        <v>45107</v>
      </c>
      <c r="C80" s="1" t="n">
        <v>46182</v>
      </c>
      <c r="D80" t="inlineStr">
        <is>
          <t>VÄSTRA GÖTALANDS LÄN</t>
        </is>
      </c>
      <c r="E80" t="inlineStr">
        <is>
          <t>HÄRRYDA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1551-2022</t>
        </is>
      </c>
      <c r="B81" s="1" t="n">
        <v>44573.61799768519</v>
      </c>
      <c r="C81" s="1" t="n">
        <v>46182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13108-2023</t>
        </is>
      </c>
      <c r="B82" s="1" t="n">
        <v>45002</v>
      </c>
      <c r="C82" s="1" t="n">
        <v>46182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69563-2021</t>
        </is>
      </c>
      <c r="B83" s="1" t="n">
        <v>44532</v>
      </c>
      <c r="C83" s="1" t="n">
        <v>46182</v>
      </c>
      <c r="D83" t="inlineStr">
        <is>
          <t>VÄSTRA GÖTALANDS LÄN</t>
        </is>
      </c>
      <c r="E83" t="inlineStr">
        <is>
          <t>HÄRRYDA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60432-2022</t>
        </is>
      </c>
      <c r="B84" s="1" t="n">
        <v>44911</v>
      </c>
      <c r="C84" s="1" t="n">
        <v>46182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56832-2023</t>
        </is>
      </c>
      <c r="B85" s="1" t="n">
        <v>45244</v>
      </c>
      <c r="C85" s="1" t="n">
        <v>46182</v>
      </c>
      <c r="D85" t="inlineStr">
        <is>
          <t>VÄSTRA GÖTALANDS LÄN</t>
        </is>
      </c>
      <c r="E85" t="inlineStr">
        <is>
          <t>HÄRRYDA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12091-2024</t>
        </is>
      </c>
      <c r="B86" s="1" t="n">
        <v>45377.56653935185</v>
      </c>
      <c r="C86" s="1" t="n">
        <v>46182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55274-2025</t>
        </is>
      </c>
      <c r="B87" s="1" t="n">
        <v>45968.70364583333</v>
      </c>
      <c r="C87" s="1" t="n">
        <v>46182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55273-2025</t>
        </is>
      </c>
      <c r="B88" s="1" t="n">
        <v>45968.69956018519</v>
      </c>
      <c r="C88" s="1" t="n">
        <v>46182</v>
      </c>
      <c r="D88" t="inlineStr">
        <is>
          <t>VÄSTRA GÖTALANDS LÄN</t>
        </is>
      </c>
      <c r="E88" t="inlineStr">
        <is>
          <t>HÄRRYDA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45067.85023148148</v>
      </c>
      <c r="C89" s="1" t="n">
        <v>46182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51012-2023</t>
        </is>
      </c>
      <c r="B90" s="1" t="n">
        <v>45218.57846064815</v>
      </c>
      <c r="C90" s="1" t="n">
        <v>46182</v>
      </c>
      <c r="D90" t="inlineStr">
        <is>
          <t>VÄSTRA GÖTALANDS LÄN</t>
        </is>
      </c>
      <c r="E90" t="inlineStr">
        <is>
          <t>HÄRRYDA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46182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25726-2022</t>
        </is>
      </c>
      <c r="B92" s="1" t="n">
        <v>44733</v>
      </c>
      <c r="C92" s="1" t="n">
        <v>46182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64291-2023</t>
        </is>
      </c>
      <c r="B93" s="1" t="n">
        <v>45280</v>
      </c>
      <c r="C93" s="1" t="n">
        <v>46182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9785-2026</t>
        </is>
      </c>
      <c r="B94" s="1" t="n">
        <v>46072.59296296296</v>
      </c>
      <c r="C94" s="1" t="n">
        <v>46182</v>
      </c>
      <c r="D94" t="inlineStr">
        <is>
          <t>VÄSTRA GÖTALANDS LÄN</t>
        </is>
      </c>
      <c r="E94" t="inlineStr">
        <is>
          <t>HÄRRYDA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25499-2022</t>
        </is>
      </c>
      <c r="B95" s="1" t="n">
        <v>44732.57032407408</v>
      </c>
      <c r="C95" s="1" t="n">
        <v>46182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60323-2025</t>
        </is>
      </c>
      <c r="B96" s="1" t="n">
        <v>45994.72667824074</v>
      </c>
      <c r="C96" s="1" t="n">
        <v>46182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46182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13951-2026</t>
        </is>
      </c>
      <c r="B98" s="1" t="n">
        <v>46098.54512731481</v>
      </c>
      <c r="C98" s="1" t="n">
        <v>46182</v>
      </c>
      <c r="D98" t="inlineStr">
        <is>
          <t>VÄSTRA GÖTALANDS LÄN</t>
        </is>
      </c>
      <c r="E98" t="inlineStr">
        <is>
          <t>HÄRRYDA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7575-2025</t>
        </is>
      </c>
      <c r="B99" s="1" t="n">
        <v>45705</v>
      </c>
      <c r="C99" s="1" t="n">
        <v>46182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46798-2024</t>
        </is>
      </c>
      <c r="B100" s="1" t="n">
        <v>45583</v>
      </c>
      <c r="C100" s="1" t="n">
        <v>46182</v>
      </c>
      <c r="D100" t="inlineStr">
        <is>
          <t>VÄSTRA GÖTALANDS LÄN</t>
        </is>
      </c>
      <c r="E100" t="inlineStr">
        <is>
          <t>HÄRRYDA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46182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14473-2026</t>
        </is>
      </c>
      <c r="B102" s="1" t="n">
        <v>46100.56954861111</v>
      </c>
      <c r="C102" s="1" t="n">
        <v>46182</v>
      </c>
      <c r="D102" t="inlineStr">
        <is>
          <t>VÄSTRA GÖTALANDS LÄN</t>
        </is>
      </c>
      <c r="E102" t="inlineStr">
        <is>
          <t>HÄRRYDA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45704.50445601852</v>
      </c>
      <c r="C103" s="1" t="n">
        <v>46182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46182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41318-2022</t>
        </is>
      </c>
      <c r="B105" s="1" t="n">
        <v>44826</v>
      </c>
      <c r="C105" s="1" t="n">
        <v>46182</v>
      </c>
      <c r="D105" t="inlineStr">
        <is>
          <t>VÄSTRA GÖTALANDS LÄN</t>
        </is>
      </c>
      <c r="E105" t="inlineStr">
        <is>
          <t>HÄRRYDA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15401-2026</t>
        </is>
      </c>
      <c r="B106" s="1" t="n">
        <v>46106.36075231482</v>
      </c>
      <c r="C106" s="1" t="n">
        <v>46182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15700-2026</t>
        </is>
      </c>
      <c r="B107" s="1" t="n">
        <v>46107.34721064815</v>
      </c>
      <c r="C107" s="1" t="n">
        <v>46182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15704-2026</t>
        </is>
      </c>
      <c r="B108" s="1" t="n">
        <v>46107.35039351852</v>
      </c>
      <c r="C108" s="1" t="n">
        <v>46182</v>
      </c>
      <c r="D108" t="inlineStr">
        <is>
          <t>VÄSTRA GÖTALANDS LÄN</t>
        </is>
      </c>
      <c r="E108" t="inlineStr">
        <is>
          <t>HÄRRYDA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15698-2026</t>
        </is>
      </c>
      <c r="B109" s="1" t="n">
        <v>46107.34510416666</v>
      </c>
      <c r="C109" s="1" t="n">
        <v>46182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34938-2022</t>
        </is>
      </c>
      <c r="B110" s="1" t="n">
        <v>44796</v>
      </c>
      <c r="C110" s="1" t="n">
        <v>46182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39761-2023</t>
        </is>
      </c>
      <c r="B111" s="1" t="n">
        <v>45167.71447916667</v>
      </c>
      <c r="C111" s="1" t="n">
        <v>46182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39762-2023</t>
        </is>
      </c>
      <c r="B112" s="1" t="n">
        <v>45167.71539351852</v>
      </c>
      <c r="C112" s="1" t="n">
        <v>46182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23492-2026</t>
        </is>
      </c>
      <c r="B113" s="1" t="n">
        <v>46163.43740740741</v>
      </c>
      <c r="C113" s="1" t="n">
        <v>46182</v>
      </c>
      <c r="D113" t="inlineStr">
        <is>
          <t>VÄSTRA GÖTALANDS LÄN</t>
        </is>
      </c>
      <c r="E113" t="inlineStr">
        <is>
          <t>HÄRRYDA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52043-2024</t>
        </is>
      </c>
      <c r="B114" s="1" t="n">
        <v>45608.32934027778</v>
      </c>
      <c r="C114" s="1" t="n">
        <v>46182</v>
      </c>
      <c r="D114" t="inlineStr">
        <is>
          <t>VÄSTRA GÖTALANDS LÄN</t>
        </is>
      </c>
      <c r="E114" t="inlineStr">
        <is>
          <t>HÄRRYDA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47334-2024</t>
        </is>
      </c>
      <c r="B115" s="1" t="n">
        <v>45587.39581018518</v>
      </c>
      <c r="C115" s="1" t="n">
        <v>46182</v>
      </c>
      <c r="D115" t="inlineStr">
        <is>
          <t>VÄSTRA GÖTALANDS LÄN</t>
        </is>
      </c>
      <c r="E115" t="inlineStr">
        <is>
          <t>HÄRRYDA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14183-2024</t>
        </is>
      </c>
      <c r="B116" s="1" t="n">
        <v>45393.34479166667</v>
      </c>
      <c r="C116" s="1" t="n">
        <v>46182</v>
      </c>
      <c r="D116" t="inlineStr">
        <is>
          <t>VÄSTRA GÖTALANDS LÄN</t>
        </is>
      </c>
      <c r="E116" t="inlineStr">
        <is>
          <t>HÄRRYDA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22271-2025</t>
        </is>
      </c>
      <c r="B117" s="1" t="n">
        <v>45785.89675925926</v>
      </c>
      <c r="C117" s="1" t="n">
        <v>46182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41725-2024</t>
        </is>
      </c>
      <c r="B118" s="1" t="n">
        <v>45560.86376157407</v>
      </c>
      <c r="C118" s="1" t="n">
        <v>46182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46182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24542-2025</t>
        </is>
      </c>
      <c r="B120" s="1" t="n">
        <v>45798.44365740741</v>
      </c>
      <c r="C120" s="1" t="n">
        <v>46182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4315-2024</t>
        </is>
      </c>
      <c r="B121" s="1" t="n">
        <v>45324</v>
      </c>
      <c r="C121" s="1" t="n">
        <v>46182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46182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61737-2025</t>
        </is>
      </c>
      <c r="B123" s="1" t="n">
        <v>46002.59627314815</v>
      </c>
      <c r="C123" s="1" t="n">
        <v>46182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61741-2025</t>
        </is>
      </c>
      <c r="B124" s="1" t="n">
        <v>46002.60090277778</v>
      </c>
      <c r="C124" s="1" t="n">
        <v>46182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46182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20994-2026</t>
        </is>
      </c>
      <c r="B126" s="1" t="n">
        <v>46142</v>
      </c>
      <c r="C126" s="1" t="n">
        <v>46182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2026-06-09T09:26:24Z</dcterms:created>
  <dcterms:modified xmlns:dcterms="http://purl.org/dc/terms/" xmlns:xsi="http://www.w3.org/2001/XMLSchema-instance" xsi:type="dcterms:W3CDTF">2026-06-09T09:26:24Z</dcterms:modified>
</cp:coreProperties>
</file>