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46222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46222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46222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46222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46222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46222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46222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46222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Nötkråka
Kungsfågel
Vanlig groda</t>
        </is>
      </c>
      <c r="V9">
        <f>HYPERLINK("https://klasma.github.io/Logging_1401/artfynd/A 26989-2025 artfynd.xlsx", "A 26989-2025")</f>
        <v/>
      </c>
      <c r="W9">
        <f>HYPERLINK("https://klasma.github.io/Logging_1401/kartor/A 26989-2025 karta.png", "A 26989-2025")</f>
        <v/>
      </c>
      <c r="Y9">
        <f>HYPERLINK("https://klasma.github.io/Logging_1401/klagomål/A 26989-2025 FSC-klagomål.docx", "A 26989-2025")</f>
        <v/>
      </c>
      <c r="Z9">
        <f>HYPERLINK("https://klasma.github.io/Logging_1401/klagomålsmail/A 26989-2025 FSC-klagomål mail.docx", "A 26989-2025")</f>
        <v/>
      </c>
      <c r="AA9">
        <f>HYPERLINK("https://klasma.github.io/Logging_1401/tillsyn/A 26989-2025 tillsynsbegäran.docx", "A 26989-2025")</f>
        <v/>
      </c>
      <c r="AB9">
        <f>HYPERLINK("https://klasma.github.io/Logging_1401/tillsynsmail/A 26989-2025 tillsynsbegäran mail.docx", "A 26989-2025")</f>
        <v/>
      </c>
      <c r="AC9">
        <f>HYPERLINK("https://klasma.github.io/Logging_1401/fåglar/A 26989-2025 prioriterade fågelarter.docx", "A 26989-2025")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46222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Sexfläckig bastardsvärmare
Slåttergubbe
Mindre vattensalamander</t>
        </is>
      </c>
      <c r="V10">
        <f>HYPERLINK("https://klasma.github.io/Logging_1401/artfynd/A 37201-2023 artfynd.xlsx", "A 37201-2023")</f>
        <v/>
      </c>
      <c r="W10">
        <f>HYPERLINK("https://klasma.github.io/Logging_1401/kartor/A 37201-2023 karta.png", "A 37201-2023")</f>
        <v/>
      </c>
      <c r="Y10">
        <f>HYPERLINK("https://klasma.github.io/Logging_1401/klagomål/A 37201-2023 FSC-klagomål.docx", "A 37201-2023")</f>
        <v/>
      </c>
      <c r="Z10">
        <f>HYPERLINK("https://klasma.github.io/Logging_1401/klagomålsmail/A 37201-2023 FSC-klagomål mail.docx", "A 37201-2023")</f>
        <v/>
      </c>
      <c r="AA10">
        <f>HYPERLINK("https://klasma.github.io/Logging_1401/tillsyn/A 37201-2023 tillsynsbegäran.docx", "A 37201-2023")</f>
        <v/>
      </c>
      <c r="AB10">
        <f>HYPERLINK("https://klasma.github.io/Logging_1401/tillsynsmail/A 37201-2023 tillsynsbegäran mail.docx", "A 37201-2023")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46222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Grönhjon
Talltita
Kungsfågel</t>
        </is>
      </c>
      <c r="V11">
        <f>HYPERLINK("https://klasma.github.io/Logging_1401/artfynd/A 55708-2023 artfynd.xlsx", "A 55708-2023")</f>
        <v/>
      </c>
      <c r="W11">
        <f>HYPERLINK("https://klasma.github.io/Logging_1401/kartor/A 55708-2023 karta.png", "A 55708-2023")</f>
        <v/>
      </c>
      <c r="Y11">
        <f>HYPERLINK("https://klasma.github.io/Logging_1401/klagomål/A 55708-2023 FSC-klagomål.docx", "A 55708-2023")</f>
        <v/>
      </c>
      <c r="Z11">
        <f>HYPERLINK("https://klasma.github.io/Logging_1401/klagomålsmail/A 55708-2023 FSC-klagomål mail.docx", "A 55708-2023")</f>
        <v/>
      </c>
      <c r="AA11">
        <f>HYPERLINK("https://klasma.github.io/Logging_1401/tillsyn/A 55708-2023 tillsynsbegäran.docx", "A 55708-2023")</f>
        <v/>
      </c>
      <c r="AB11">
        <f>HYPERLINK("https://klasma.github.io/Logging_1401/tillsynsmail/A 55708-2023 tillsynsbegäran mail.docx", "A 55708-2023")</f>
        <v/>
      </c>
      <c r="AC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46222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46222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Revlummer</t>
        </is>
      </c>
      <c r="V13">
        <f>HYPERLINK("https://klasma.github.io/Logging_1401/artfynd/A 9491-2025 artfynd.xlsx", "A 9491-2025")</f>
        <v/>
      </c>
      <c r="W13">
        <f>HYPERLINK("https://klasma.github.io/Logging_1401/kartor/A 9491-2025 karta.png", "A 9491-2025")</f>
        <v/>
      </c>
      <c r="Y13">
        <f>HYPERLINK("https://klasma.github.io/Logging_1401/klagomål/A 9491-2025 FSC-klagomål.docx", "A 9491-2025")</f>
        <v/>
      </c>
      <c r="Z13">
        <f>HYPERLINK("https://klasma.github.io/Logging_1401/klagomålsmail/A 9491-2025 FSC-klagomål mail.docx", "A 9491-2025")</f>
        <v/>
      </c>
      <c r="AA13">
        <f>HYPERLINK("https://klasma.github.io/Logging_1401/tillsyn/A 9491-2025 tillsynsbegäran.docx", "A 9491-2025")</f>
        <v/>
      </c>
      <c r="AB13">
        <f>HYPERLINK("https://klasma.github.io/Logging_1401/tillsynsmail/A 9491-2025 tillsynsbegäran mail.docx", "A 9491-2025")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46222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Skuggmossa
Trådticka</t>
        </is>
      </c>
      <c r="V14">
        <f>HYPERLINK("https://klasma.github.io/Logging_1401/artfynd/A 55274-2025 artfynd.xlsx", "A 55274-2025")</f>
        <v/>
      </c>
      <c r="W14">
        <f>HYPERLINK("https://klasma.github.io/Logging_1401/kartor/A 55274-2025 karta.png", "A 55274-2025")</f>
        <v/>
      </c>
      <c r="Y14">
        <f>HYPERLINK("https://klasma.github.io/Logging_1401/klagomål/A 55274-2025 FSC-klagomål.docx", "A 55274-2025")</f>
        <v/>
      </c>
      <c r="Z14">
        <f>HYPERLINK("https://klasma.github.io/Logging_1401/klagomålsmail/A 55274-2025 FSC-klagomål mail.docx", "A 55274-2025")</f>
        <v/>
      </c>
      <c r="AA14">
        <f>HYPERLINK("https://klasma.github.io/Logging_1401/tillsyn/A 55274-2025 tillsynsbegäran.docx", "A 55274-2025")</f>
        <v/>
      </c>
      <c r="AB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46222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Stor revmossa
Vanlig padda</t>
        </is>
      </c>
      <c r="V15">
        <f>HYPERLINK("https://klasma.github.io/Logging_1401/artfynd/A 63592-2021 artfynd.xlsx", "A 63592-2021")</f>
        <v/>
      </c>
      <c r="W15">
        <f>HYPERLINK("https://klasma.github.io/Logging_1401/kartor/A 63592-2021 karta.png", "A 63592-2021")</f>
        <v/>
      </c>
      <c r="Y15">
        <f>HYPERLINK("https://klasma.github.io/Logging_1401/klagomål/A 63592-2021 FSC-klagomål.docx", "A 63592-2021")</f>
        <v/>
      </c>
      <c r="Z15">
        <f>HYPERLINK("https://klasma.github.io/Logging_1401/klagomålsmail/A 63592-2021 FSC-klagomål mail.docx", "A 63592-2021")</f>
        <v/>
      </c>
      <c r="AA15">
        <f>HYPERLINK("https://klasma.github.io/Logging_1401/tillsyn/A 63592-2021 tillsynsbegäran.docx", "A 63592-2021")</f>
        <v/>
      </c>
      <c r="AB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46222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Klippfrullania
Revlummer</t>
        </is>
      </c>
      <c r="V16">
        <f>HYPERLINK("https://klasma.github.io/Logging_1401/artfynd/A 27676-2026 artfynd.xlsx", "A 27676-2026")</f>
        <v/>
      </c>
      <c r="W16">
        <f>HYPERLINK("https://klasma.github.io/Logging_1401/kartor/A 27676-2026 karta.png", "A 27676-2026")</f>
        <v/>
      </c>
      <c r="Y16">
        <f>HYPERLINK("https://klasma.github.io/Logging_1401/klagomål/A 27676-2026 FSC-klagomål.docx", "A 27676-2026")</f>
        <v/>
      </c>
      <c r="Z16">
        <f>HYPERLINK("https://klasma.github.io/Logging_1401/klagomålsmail/A 27676-2026 FSC-klagomål mail.docx", "A 27676-2026")</f>
        <v/>
      </c>
      <c r="AA16">
        <f>HYPERLINK("https://klasma.github.io/Logging_1401/tillsyn/A 27676-2026 tillsynsbegäran.docx", "A 27676-2026")</f>
        <v/>
      </c>
      <c r="AB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46222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Igelkott
Revlummer</t>
        </is>
      </c>
      <c r="V17">
        <f>HYPERLINK("https://klasma.github.io/Logging_1401/artfynd/A 34938-2022 artfynd.xlsx", "A 34938-2022")</f>
        <v/>
      </c>
      <c r="W17">
        <f>HYPERLINK("https://klasma.github.io/Logging_1401/kartor/A 34938-2022 karta.png", "A 34938-2022")</f>
        <v/>
      </c>
      <c r="Y17">
        <f>HYPERLINK("https://klasma.github.io/Logging_1401/klagomål/A 34938-2022 FSC-klagomål.docx", "A 34938-2022")</f>
        <v/>
      </c>
      <c r="Z17">
        <f>HYPERLINK("https://klasma.github.io/Logging_1401/klagomålsmail/A 34938-2022 FSC-klagomål mail.docx", "A 34938-2022")</f>
        <v/>
      </c>
      <c r="AA17">
        <f>HYPERLINK("https://klasma.github.io/Logging_1401/tillsyn/A 34938-2022 tillsynsbegäran.docx", "A 34938-2022")</f>
        <v/>
      </c>
      <c r="AB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46222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46222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46222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Kortskaftad ärgspik</t>
        </is>
      </c>
      <c r="V20">
        <f>HYPERLINK("https://klasma.github.io/Logging_1401/artfynd/A 27482-2025 artfynd.xlsx", "A 27482-2025")</f>
        <v/>
      </c>
      <c r="W20">
        <f>HYPERLINK("https://klasma.github.io/Logging_1401/kartor/A 27482-2025 karta.png", "A 27482-2025")</f>
        <v/>
      </c>
      <c r="Y20">
        <f>HYPERLINK("https://klasma.github.io/Logging_1401/klagomål/A 27482-2025 FSC-klagomål.docx", "A 27482-2025")</f>
        <v/>
      </c>
      <c r="Z20">
        <f>HYPERLINK("https://klasma.github.io/Logging_1401/klagomålsmail/A 27482-2025 FSC-klagomål mail.docx", "A 27482-2025")</f>
        <v/>
      </c>
      <c r="AA20">
        <f>HYPERLINK("https://klasma.github.io/Logging_1401/tillsyn/A 27482-2025 tillsynsbegäran.docx", "A 27482-2025")</f>
        <v/>
      </c>
      <c r="AB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46222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HYPERLINK("https://klasma.github.io/Logging_1401/artfynd/A 14259-2025 artfynd.xlsx", "A 14259-2025")</f>
        <v/>
      </c>
      <c r="W21">
        <f>HYPERLINK("https://klasma.github.io/Logging_1401/kartor/A 14259-2025 karta.png", "A 14259-2025")</f>
        <v/>
      </c>
      <c r="Y21">
        <f>HYPERLINK("https://klasma.github.io/Logging_1401/klagomål/A 14259-2025 FSC-klagomål.docx", "A 14259-2025")</f>
        <v/>
      </c>
      <c r="Z21">
        <f>HYPERLINK("https://klasma.github.io/Logging_1401/klagomålsmail/A 14259-2025 FSC-klagomål mail.docx", "A 14259-2025")</f>
        <v/>
      </c>
      <c r="AA21">
        <f>HYPERLINK("https://klasma.github.io/Logging_1401/tillsyn/A 14259-2025 tillsynsbegäran.docx", "A 14259-2025")</f>
        <v/>
      </c>
      <c r="AB21">
        <f>HYPERLINK("https://klasma.github.io/Logging_1401/tillsynsmail/A 14259-2025 tillsynsbegäran mail.docx", "A 14259-2025")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46222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47362-2024 artfynd.xlsx", "A 47362-2024")</f>
        <v/>
      </c>
      <c r="W22">
        <f>HYPERLINK("https://klasma.github.io/Logging_1401/kartor/A 47362-2024 karta.png", "A 47362-2024")</f>
        <v/>
      </c>
      <c r="Y22">
        <f>HYPERLINK("https://klasma.github.io/Logging_1401/klagomål/A 47362-2024 FSC-klagomål.docx", "A 47362-2024")</f>
        <v/>
      </c>
      <c r="Z22">
        <f>HYPERLINK("https://klasma.github.io/Logging_1401/klagomålsmail/A 47362-2024 FSC-klagomål mail.docx", "A 47362-2024")</f>
        <v/>
      </c>
      <c r="AA22">
        <f>HYPERLINK("https://klasma.github.io/Logging_1401/tillsyn/A 47362-2024 tillsynsbegäran.docx", "A 47362-2024")</f>
        <v/>
      </c>
      <c r="AB22">
        <f>HYPERLINK("https://klasma.github.io/Logging_1401/tillsynsmail/A 47362-2024 tillsynsbegäran mail.docx", "A 47362-2024")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46222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s="2" t="inlineStr">
        <is>
          <t>Tjäder</t>
        </is>
      </c>
      <c r="V23">
        <f>HYPERLINK("https://klasma.github.io/Logging_1401/artfynd/A 55686-2023 artfynd.xlsx", "A 55686-2023")</f>
        <v/>
      </c>
      <c r="W23">
        <f>HYPERLINK("https://klasma.github.io/Logging_1401/kartor/A 55686-2023 karta.png", "A 55686-2023")</f>
        <v/>
      </c>
      <c r="Y23">
        <f>HYPERLINK("https://klasma.github.io/Logging_1401/klagomål/A 55686-2023 FSC-klagomål.docx", "A 55686-2023")</f>
        <v/>
      </c>
      <c r="Z23">
        <f>HYPERLINK("https://klasma.github.io/Logging_1401/klagomålsmail/A 55686-2023 FSC-klagomål mail.docx", "A 55686-2023")</f>
        <v/>
      </c>
      <c r="AA23">
        <f>HYPERLINK("https://klasma.github.io/Logging_1401/tillsyn/A 55686-2023 tillsynsbegäran.docx", "A 55686-2023")</f>
        <v/>
      </c>
      <c r="AB23">
        <f>HYPERLINK("https://klasma.github.io/Logging_1401/tillsynsmail/A 55686-2023 tillsynsbegäran mail.docx", "A 55686-2023")</f>
        <v/>
      </c>
      <c r="AC23">
        <f>HYPERLINK("https://klasma.github.io/Logging_1401/fåglar/A 55686-2023 prioriterade fågelarter.docx", "A 55686-2023")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46222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Almkrämskinn</t>
        </is>
      </c>
      <c r="V24">
        <f>HYPERLINK("https://klasma.github.io/Logging_1401/artfynd/A 41457-2023 artfynd.xlsx", "A 41457-2023")</f>
        <v/>
      </c>
      <c r="W24">
        <f>HYPERLINK("https://klasma.github.io/Logging_1401/kartor/A 41457-2023 karta.png", "A 41457-2023")</f>
        <v/>
      </c>
      <c r="Y24">
        <f>HYPERLINK("https://klasma.github.io/Logging_1401/klagomål/A 41457-2023 FSC-klagomål.docx", "A 41457-2023")</f>
        <v/>
      </c>
      <c r="Z24">
        <f>HYPERLINK("https://klasma.github.io/Logging_1401/klagomålsmail/A 41457-2023 FSC-klagomål mail.docx", "A 41457-2023")</f>
        <v/>
      </c>
      <c r="AA24">
        <f>HYPERLINK("https://klasma.github.io/Logging_1401/tillsyn/A 41457-2023 tillsynsbegäran.docx", "A 41457-2023")</f>
        <v/>
      </c>
      <c r="AB24">
        <f>HYPERLINK("https://klasma.github.io/Logging_1401/tillsynsmail/A 41457-2023 tillsynsbegäran mail.docx", "A 41457-2023")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46222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Revlummer</t>
        </is>
      </c>
      <c r="V25">
        <f>HYPERLINK("https://klasma.github.io/Logging_1401/artfynd/A 19977-2022 artfynd.xlsx", "A 19977-2022")</f>
        <v/>
      </c>
      <c r="W25">
        <f>HYPERLINK("https://klasma.github.io/Logging_1401/kartor/A 19977-2022 karta.png", "A 19977-2022")</f>
        <v/>
      </c>
      <c r="Y25">
        <f>HYPERLINK("https://klasma.github.io/Logging_1401/klagomål/A 19977-2022 FSC-klagomål.docx", "A 19977-2022")</f>
        <v/>
      </c>
      <c r="Z25">
        <f>HYPERLINK("https://klasma.github.io/Logging_1401/klagomålsmail/A 19977-2022 FSC-klagomål mail.docx", "A 19977-2022")</f>
        <v/>
      </c>
      <c r="AA25">
        <f>HYPERLINK("https://klasma.github.io/Logging_1401/tillsyn/A 19977-2022 tillsynsbegäran.docx", "A 19977-2022")</f>
        <v/>
      </c>
      <c r="AB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46222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Y26">
        <f>HYPERLINK("https://klasma.github.io/Logging_1401/klagomål/A 21398-2023 FSC-klagomål.docx", "A 21398-2023")</f>
        <v/>
      </c>
      <c r="Z26">
        <f>HYPERLINK("https://klasma.github.io/Logging_1401/klagomålsmail/A 21398-2023 FSC-klagomål mail.docx", "A 21398-2023")</f>
        <v/>
      </c>
      <c r="AA26">
        <f>HYPERLINK("https://klasma.github.io/Logging_1401/tillsyn/A 21398-2023 tillsynsbegäran.docx", "A 21398-2023")</f>
        <v/>
      </c>
      <c r="AB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46222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23492-2026 artfynd.xlsx", "A 23492-2026")</f>
        <v/>
      </c>
      <c r="W27">
        <f>HYPERLINK("https://klasma.github.io/Logging_1401/kartor/A 23492-2026 karta.png", "A 23492-2026")</f>
        <v/>
      </c>
      <c r="Y27">
        <f>HYPERLINK("https://klasma.github.io/Logging_1401/klagomål/A 23492-2026 FSC-klagomål.docx", "A 23492-2026")</f>
        <v/>
      </c>
      <c r="Z27">
        <f>HYPERLINK("https://klasma.github.io/Logging_1401/klagomålsmail/A 23492-2026 FSC-klagomål mail.docx", "A 23492-2026")</f>
        <v/>
      </c>
      <c r="AA27">
        <f>HYPERLINK("https://klasma.github.io/Logging_1401/tillsyn/A 23492-2026 tillsynsbegäran.docx", "A 23492-2026")</f>
        <v/>
      </c>
      <c r="AB27">
        <f>HYPERLINK("https://klasma.github.io/Logging_1401/tillsynsmail/A 23492-2026 tillsynsbegäran mail.docx", "A 23492-2026")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46222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Revlummer</t>
        </is>
      </c>
      <c r="V28">
        <f>HYPERLINK("https://klasma.github.io/Logging_1401/artfynd/A 58481-2022 artfynd.xlsx", "A 58481-2022")</f>
        <v/>
      </c>
      <c r="W28">
        <f>HYPERLINK("https://klasma.github.io/Logging_1401/kartor/A 58481-2022 karta.png", "A 58481-2022")</f>
        <v/>
      </c>
      <c r="Y28">
        <f>HYPERLINK("https://klasma.github.io/Logging_1401/klagomål/A 58481-2022 FSC-klagomål.docx", "A 58481-2022")</f>
        <v/>
      </c>
      <c r="Z28">
        <f>HYPERLINK("https://klasma.github.io/Logging_1401/klagomålsmail/A 58481-2022 FSC-klagomål mail.docx", "A 58481-2022")</f>
        <v/>
      </c>
      <c r="AA28">
        <f>HYPERLINK("https://klasma.github.io/Logging_1401/tillsyn/A 58481-2022 tillsynsbegäran.docx", "A 58481-2022")</f>
        <v/>
      </c>
      <c r="AB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46222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Klippfrullania</t>
        </is>
      </c>
      <c r="V29">
        <f>HYPERLINK("https://klasma.github.io/Logging_1401/artfynd/A 52164-2023 artfynd.xlsx", "A 52164-2023")</f>
        <v/>
      </c>
      <c r="W29">
        <f>HYPERLINK("https://klasma.github.io/Logging_1401/kartor/A 52164-2023 karta.png", "A 52164-2023")</f>
        <v/>
      </c>
      <c r="Y29">
        <f>HYPERLINK("https://klasma.github.io/Logging_1401/klagomål/A 52164-2023 FSC-klagomål.docx", "A 52164-2023")</f>
        <v/>
      </c>
      <c r="Z29">
        <f>HYPERLINK("https://klasma.github.io/Logging_1401/klagomålsmail/A 52164-2023 FSC-klagomål mail.docx", "A 52164-2023")</f>
        <v/>
      </c>
      <c r="AA29">
        <f>HYPERLINK("https://klasma.github.io/Logging_1401/tillsyn/A 52164-2023 tillsynsbegäran.docx", "A 52164-2023")</f>
        <v/>
      </c>
      <c r="AB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46222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46222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46222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46222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46222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46222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46222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46222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46222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46222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46222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46222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46222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46222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46222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46222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46222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46222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46222</v>
      </c>
      <c r="F50" t="inlineStr">
        <is>
          <t>VÄSTRA GÖTALANDS LÄN</t>
        </is>
      </c>
      <c r="G50" t="inlineStr">
        <is>
          <t>HÄRRYDA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46222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45813</v>
      </c>
      <c r="E52" s="1" t="n">
        <v>46222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46222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56558-2024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46222</v>
      </c>
      <c r="F54" t="inlineStr">
        <is>
          <t>VÄSTRA GÖTALANDS LÄN</t>
        </is>
      </c>
      <c r="G54" t="inlineStr">
        <is>
          <t>HÄRRYDA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40273-2025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46222</v>
      </c>
      <c r="F55" t="inlineStr">
        <is>
          <t>VÄSTRA GÖTALANDS LÄN</t>
        </is>
      </c>
      <c r="G55" t="inlineStr">
        <is>
          <t>HÄRRYDA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40306-2025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45895</v>
      </c>
      <c r="E56" s="1" t="n">
        <v>46222</v>
      </c>
      <c r="F56" t="inlineStr">
        <is>
          <t>VÄSTRA GÖTALANDS LÄN</t>
        </is>
      </c>
      <c r="G56" t="inlineStr">
        <is>
          <t>HÄRRYDA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46222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46222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40053-2023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46222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44960</v>
      </c>
      <c r="E60" s="1" t="n">
        <v>46222</v>
      </c>
      <c r="F60" t="inlineStr">
        <is>
          <t>VÄSTRA GÖTALANDS LÄN</t>
        </is>
      </c>
      <c r="G60" t="inlineStr">
        <is>
          <t>HÄRRYDA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46222</v>
      </c>
      <c r="F61" t="inlineStr">
        <is>
          <t>VÄSTRA GÖTALANDS LÄN</t>
        </is>
      </c>
      <c r="G61" t="inlineStr">
        <is>
          <t>HÄRRYDA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48440-2025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46222</v>
      </c>
      <c r="F62" t="inlineStr">
        <is>
          <t>VÄSTRA GÖTALANDS LÄN</t>
        </is>
      </c>
      <c r="G62" t="inlineStr">
        <is>
          <t>HÄRRYDA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46222</v>
      </c>
      <c r="F63" t="inlineStr">
        <is>
          <t>VÄSTRA GÖTALANDS LÄN</t>
        </is>
      </c>
      <c r="G63" t="inlineStr">
        <is>
          <t>HÄRRYDA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25439-2022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44732</v>
      </c>
      <c r="E64" s="1" t="n">
        <v>46222</v>
      </c>
      <c r="F64" t="inlineStr">
        <is>
          <t>VÄSTRA GÖTALANDS LÄN</t>
        </is>
      </c>
      <c r="G64" t="inlineStr">
        <is>
          <t>HÄRRYDA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46222</v>
      </c>
      <c r="F65" t="inlineStr">
        <is>
          <t>VÄSTRA GÖTALANDS LÄN</t>
        </is>
      </c>
      <c r="G65" t="inlineStr">
        <is>
          <t>HÄRRYDA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46222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25726-2022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46222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16679-2025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46222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46222</v>
      </c>
      <c r="F69" t="inlineStr">
        <is>
          <t>VÄSTRA GÖTALANDS LÄN</t>
        </is>
      </c>
      <c r="G69" t="inlineStr">
        <is>
          <t>HÄRRYDA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46222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46222</v>
      </c>
      <c r="F71" t="inlineStr">
        <is>
          <t>VÄSTRA GÖTALANDS LÄN</t>
        </is>
      </c>
      <c r="G71" t="inlineStr">
        <is>
          <t>HÄRRYDA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41318-2022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46222</v>
      </c>
      <c r="F72" t="inlineStr">
        <is>
          <t>VÄSTRA GÖTALANDS LÄN</t>
        </is>
      </c>
      <c r="G72" t="inlineStr">
        <is>
          <t>HÄRRYDA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55273-2025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46222</v>
      </c>
      <c r="F73" t="inlineStr">
        <is>
          <t>VÄSTRA GÖTALANDS LÄN</t>
        </is>
      </c>
      <c r="G73" t="inlineStr">
        <is>
          <t>HÄRRYDA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20727-2023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46222</v>
      </c>
      <c r="F74" t="inlineStr">
        <is>
          <t>VÄSTRA GÖTALANDS LÄN</t>
        </is>
      </c>
      <c r="G74" t="inlineStr">
        <is>
          <t>HÄRRYDA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46222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13951-2026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46098</v>
      </c>
      <c r="E76" s="1" t="n">
        <v>46222</v>
      </c>
      <c r="F76" t="inlineStr">
        <is>
          <t>VÄSTRA GÖTALANDS LÄN</t>
        </is>
      </c>
      <c r="G76" t="inlineStr">
        <is>
          <t>HÄRRYDA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7575-2025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46222</v>
      </c>
      <c r="F77" t="inlineStr">
        <is>
          <t>VÄSTRA GÖTALANDS LÄN</t>
        </is>
      </c>
      <c r="G77" t="inlineStr">
        <is>
          <t>HÄRRYDA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45704</v>
      </c>
      <c r="E78" s="1" t="n">
        <v>46222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9492-2025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46222</v>
      </c>
      <c r="F79" t="inlineStr">
        <is>
          <t>VÄSTRA GÖTALANDS LÄN</t>
        </is>
      </c>
      <c r="G79" t="inlineStr">
        <is>
          <t>HÄRRYDA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21800-2023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45067</v>
      </c>
      <c r="E80" s="1" t="n">
        <v>46222</v>
      </c>
      <c r="F80" t="inlineStr">
        <is>
          <t>VÄSTRA GÖTALANDS LÄN</t>
        </is>
      </c>
      <c r="G80" t="inlineStr">
        <is>
          <t>HÄRRYDA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34665-2023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46222</v>
      </c>
      <c r="F81" t="inlineStr">
        <is>
          <t>VÄSTRA GÖTALANDS LÄN</t>
        </is>
      </c>
      <c r="G81" t="inlineStr">
        <is>
          <t>HÄRRYDA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9494-2025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46222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15698-2026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46222</v>
      </c>
      <c r="F83" t="inlineStr">
        <is>
          <t>VÄSTRA GÖTALANDS LÄN</t>
        </is>
      </c>
      <c r="G83" t="inlineStr">
        <is>
          <t>HÄRRYDA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46222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15704-2026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46222</v>
      </c>
      <c r="F85" t="inlineStr">
        <is>
          <t>VÄSTRA GÖTALANDS LÄN</t>
        </is>
      </c>
      <c r="G85" t="inlineStr">
        <is>
          <t>HÄRRYDA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15401-2026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46106</v>
      </c>
      <c r="E86" s="1" t="n">
        <v>46222</v>
      </c>
      <c r="F86" t="inlineStr">
        <is>
          <t>VÄSTRA GÖTALANDS LÄN</t>
        </is>
      </c>
      <c r="G86" t="inlineStr">
        <is>
          <t>HÄRRYDA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69563-2021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46222</v>
      </c>
      <c r="F87" t="inlineStr">
        <is>
          <t>VÄSTRA GÖTALANDS LÄN</t>
        </is>
      </c>
      <c r="G87" t="inlineStr">
        <is>
          <t>HÄRRYDA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46222</v>
      </c>
      <c r="F88" t="inlineStr">
        <is>
          <t>VÄSTRA GÖTALANDS LÄN</t>
        </is>
      </c>
      <c r="G88" t="inlineStr">
        <is>
          <t>HÄRRYDA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46222</v>
      </c>
      <c r="F89" t="inlineStr">
        <is>
          <t>VÄSTRA GÖTALANDS LÄN</t>
        </is>
      </c>
      <c r="G89" t="inlineStr">
        <is>
          <t>HÄRRYDA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12090-2024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46222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46222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57269-2024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46222</v>
      </c>
      <c r="F92" t="inlineStr">
        <is>
          <t>VÄSTRA GÖTALANDS LÄN</t>
        </is>
      </c>
      <c r="G92" t="inlineStr">
        <is>
          <t>HÄRRYDA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46222</v>
      </c>
      <c r="F93" t="inlineStr">
        <is>
          <t>VÄSTRA GÖTALANDS LÄN</t>
        </is>
      </c>
      <c r="G93" t="inlineStr">
        <is>
          <t>HÄRRYDA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61741-2025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46222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29697-2023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46222</v>
      </c>
      <c r="F95" t="inlineStr">
        <is>
          <t>VÄSTRA GÖTALANDS LÄN</t>
        </is>
      </c>
      <c r="G95" t="inlineStr">
        <is>
          <t>HÄRRYDA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46222</v>
      </c>
      <c r="F96" t="inlineStr">
        <is>
          <t>VÄSTRA GÖTALANDS LÄN</t>
        </is>
      </c>
      <c r="G96" t="inlineStr">
        <is>
          <t>HÄRRYDA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46222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46222</v>
      </c>
      <c r="F98" t="inlineStr">
        <is>
          <t>VÄSTRA GÖTALANDS LÄN</t>
        </is>
      </c>
      <c r="G98" t="inlineStr">
        <is>
          <t>HÄRRYDA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46222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72891-2021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44547</v>
      </c>
      <c r="E100" s="1" t="n">
        <v>46222</v>
      </c>
      <c r="F100" t="inlineStr">
        <is>
          <t>VÄSTRA GÖTALANDS LÄN</t>
        </is>
      </c>
      <c r="G100" t="inlineStr">
        <is>
          <t>HÄRRYDA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46222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46222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46222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59711-2022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44908</v>
      </c>
      <c r="E104" s="1" t="n">
        <v>46222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39762-2023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46222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61874-2024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45651</v>
      </c>
      <c r="E106" s="1" t="n">
        <v>46222</v>
      </c>
      <c r="F106" t="inlineStr">
        <is>
          <t>VÄSTRA GÖTALANDS LÄN</t>
        </is>
      </c>
      <c r="G106" t="inlineStr">
        <is>
          <t>HÄRRYDA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44732</v>
      </c>
      <c r="E107" s="1" t="n">
        <v>46222</v>
      </c>
      <c r="F107" t="inlineStr">
        <is>
          <t>VÄSTRA GÖTALANDS LÄN</t>
        </is>
      </c>
      <c r="G107" t="inlineStr">
        <is>
          <t>HÄRRYDA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46222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46222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46222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46072</v>
      </c>
      <c r="E111" s="1" t="n">
        <v>46222</v>
      </c>
      <c r="F111" t="inlineStr">
        <is>
          <t>VÄSTRA GÖTALANDS LÄN</t>
        </is>
      </c>
      <c r="G111" t="inlineStr">
        <is>
          <t>HÄRRYDA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47350-2024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46222</v>
      </c>
      <c r="F112" t="inlineStr">
        <is>
          <t>VÄSTRA GÖTALANDS LÄN</t>
        </is>
      </c>
      <c r="G112" t="inlineStr">
        <is>
          <t>HÄRRYDA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30846-2026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46222</v>
      </c>
      <c r="F113" t="inlineStr">
        <is>
          <t>VÄSTRA GÖTALANDS LÄN</t>
        </is>
      </c>
      <c r="G113" t="inlineStr">
        <is>
          <t>HÄRRYDA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30869-2026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46222</v>
      </c>
      <c r="F114" t="inlineStr">
        <is>
          <t>VÄSTRA GÖTALANDS LÄN</t>
        </is>
      </c>
      <c r="G114" t="inlineStr">
        <is>
          <t>HÄRRYDA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46222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46222</v>
      </c>
      <c r="F116" t="inlineStr">
        <is>
          <t>VÄSTRA GÖTALANDS LÄN</t>
        </is>
      </c>
      <c r="G116" t="inlineStr">
        <is>
          <t>HÄRRYDA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51012-2023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45218</v>
      </c>
      <c r="E117" s="1" t="n">
        <v>46222</v>
      </c>
      <c r="F117" t="inlineStr">
        <is>
          <t>VÄSTRA GÖTALANDS LÄN</t>
        </is>
      </c>
      <c r="G117" t="inlineStr">
        <is>
          <t>HÄRRYDA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56832-2023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46222</v>
      </c>
      <c r="F118" t="inlineStr">
        <is>
          <t>VÄSTRA GÖTALANDS LÄN</t>
        </is>
      </c>
      <c r="G118" t="inlineStr">
        <is>
          <t>HÄRRYDA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60432-2022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44911</v>
      </c>
      <c r="E119" s="1" t="n">
        <v>46222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13108-2023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46222</v>
      </c>
      <c r="F120" t="inlineStr">
        <is>
          <t>VÄSTRA GÖTALANDS LÄN</t>
        </is>
      </c>
      <c r="G120" t="inlineStr">
        <is>
          <t>HÄRRYDA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46222</v>
      </c>
      <c r="F121" t="inlineStr">
        <is>
          <t>VÄSTRA GÖTALANDS LÄN</t>
        </is>
      </c>
      <c r="G121" t="inlineStr">
        <is>
          <t>HÄRRYDA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46222</v>
      </c>
      <c r="F122" t="inlineStr">
        <is>
          <t>VÄSTRA GÖTALANDS LÄN</t>
        </is>
      </c>
      <c r="G122" t="inlineStr">
        <is>
          <t>HÄRRYDA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55071-2023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45237</v>
      </c>
      <c r="E123" s="1" t="n">
        <v>46222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35404-2025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46222</v>
      </c>
      <c r="F124" t="inlineStr">
        <is>
          <t>VÄSTRA GÖTALANDS LÄN</t>
        </is>
      </c>
      <c r="G124" t="inlineStr">
        <is>
          <t>HÄRRYDA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51154-2023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46222</v>
      </c>
      <c r="F125" t="inlineStr">
        <is>
          <t>VÄSTRA GÖTALANDS LÄN</t>
        </is>
      </c>
      <c r="G125" t="inlineStr">
        <is>
          <t>HÄRRYDA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45224</v>
      </c>
      <c r="E126" s="1" t="n">
        <v>46222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46222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46222</v>
      </c>
      <c r="F128" t="inlineStr">
        <is>
          <t>VÄSTRA GÖTALANDS LÄN</t>
        </is>
      </c>
      <c r="G128" t="inlineStr">
        <is>
          <t>HÄRRYDA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>
      <c r="A129" t="inlineStr">
        <is>
          <t>S 6216-2021</t>
        </is>
      </c>
      <c r="B129" t="inlineStr">
        <is>
          <t>samrådsanmälan</t>
        </is>
      </c>
      <c r="C129" t="inlineStr">
        <is>
          <t>Skogsbilväg</t>
        </is>
      </c>
      <c r="D129" s="1" t="n">
        <v>44447</v>
      </c>
      <c r="E129" s="1" t="n">
        <v>46222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2026-07-19T01:33:17Z</dcterms:created>
  <dcterms:modified xmlns:dcterms="http://purl.org/dc/terms/" xmlns:xsi="http://www.w3.org/2001/XMLSchema-instance" xsi:type="dcterms:W3CDTF">2026-07-19T01:33:17Z</dcterms:modified>
</cp:coreProperties>
</file>