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45663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45663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45663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45663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45663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45663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45663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45663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45663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45663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51542-2024</t>
        </is>
      </c>
      <c r="B12" s="1" t="n">
        <v>45604</v>
      </c>
      <c r="C12" s="1" t="n">
        <v>45663</v>
      </c>
      <c r="D12" t="inlineStr">
        <is>
          <t>VÄSTRA GÖTALANDS LÄN</t>
        </is>
      </c>
      <c r="E12" t="inlineStr">
        <is>
          <t>HÄRRYDA</t>
        </is>
      </c>
      <c r="G12" t="n">
        <v>9.199999999999999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Kortskaftad ärgspik
Stor revmossa</t>
        </is>
      </c>
      <c r="S12">
        <f>HYPERLINK("https://klasma.github.io/Logging_1401/artfynd/A 51542-2024 artfynd.xlsx", "A 51542-2024")</f>
        <v/>
      </c>
      <c r="T12">
        <f>HYPERLINK("https://klasma.github.io/Logging_1401/kartor/A 51542-2024 karta.png", "A 51542-2024")</f>
        <v/>
      </c>
      <c r="V12">
        <f>HYPERLINK("https://klasma.github.io/Logging_1401/klagomål/A 51542-2024 FSC-klagomål.docx", "A 51542-2024")</f>
        <v/>
      </c>
      <c r="W12">
        <f>HYPERLINK("https://klasma.github.io/Logging_1401/klagomålsmail/A 51542-2024 FSC-klagomål mail.docx", "A 51542-2024")</f>
        <v/>
      </c>
      <c r="X12">
        <f>HYPERLINK("https://klasma.github.io/Logging_1401/tillsyn/A 51542-2024 tillsynsbegäran.docx", "A 51542-2024")</f>
        <v/>
      </c>
      <c r="Y12">
        <f>HYPERLINK("https://klasma.github.io/Logging_1401/tillsynsmail/A 51542-2024 tillsynsbegäran mail.docx", "A 51542-2024")</f>
        <v/>
      </c>
    </row>
    <row r="13" ht="15" customHeight="1">
      <c r="A13" t="inlineStr">
        <is>
          <t>A 52061-2024</t>
        </is>
      </c>
      <c r="B13" s="1" t="n">
        <v>45608</v>
      </c>
      <c r="C13" s="1" t="n">
        <v>45663</v>
      </c>
      <c r="D13" t="inlineStr">
        <is>
          <t>VÄSTRA GÖTALANDS LÄN</t>
        </is>
      </c>
      <c r="E13" t="inlineStr">
        <is>
          <t>HÄRRYDA</t>
        </is>
      </c>
      <c r="G13" t="n">
        <v>8.1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Stor revmossa</t>
        </is>
      </c>
      <c r="S13">
        <f>HYPERLINK("https://klasma.github.io/Logging_1401/artfynd/A 52061-2024 artfynd.xlsx", "A 52061-2024")</f>
        <v/>
      </c>
      <c r="T13">
        <f>HYPERLINK("https://klasma.github.io/Logging_1401/kartor/A 52061-2024 karta.png", "A 52061-2024")</f>
        <v/>
      </c>
      <c r="V13">
        <f>HYPERLINK("https://klasma.github.io/Logging_1401/klagomål/A 52061-2024 FSC-klagomål.docx", "A 52061-2024")</f>
        <v/>
      </c>
      <c r="W13">
        <f>HYPERLINK("https://klasma.github.io/Logging_1401/klagomålsmail/A 52061-2024 FSC-klagomål mail.docx", "A 52061-2024")</f>
        <v/>
      </c>
      <c r="X13">
        <f>HYPERLINK("https://klasma.github.io/Logging_1401/tillsyn/A 52061-2024 tillsynsbegäran.docx", "A 52061-2024")</f>
        <v/>
      </c>
      <c r="Y13">
        <f>HYPERLINK("https://klasma.github.io/Logging_1401/tillsynsmail/A 52061-2024 tillsynsbegäran mail.docx", "A 52061-2024")</f>
        <v/>
      </c>
    </row>
    <row r="14" ht="15" customHeight="1">
      <c r="A14" t="inlineStr">
        <is>
          <t>A 23578-2019</t>
        </is>
      </c>
      <c r="B14" s="1" t="n">
        <v>43594</v>
      </c>
      <c r="C14" s="1" t="n">
        <v>45663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HYPERLINK("https://klasma.github.io/Logging_1401/artfynd/A 23578-2019 artfynd.xlsx", "A 23578-2019")</f>
        <v/>
      </c>
      <c r="T14">
        <f>HYPERLINK("https://klasma.github.io/Logging_1401/kartor/A 23578-2019 karta.png", "A 23578-2019")</f>
        <v/>
      </c>
      <c r="V14">
        <f>HYPERLINK("https://klasma.github.io/Logging_1401/klagomål/A 23578-2019 FSC-klagomål.docx", "A 23578-2019")</f>
        <v/>
      </c>
      <c r="W14">
        <f>HYPERLINK("https://klasma.github.io/Logging_1401/klagomålsmail/A 23578-2019 FSC-klagomål mail.docx", "A 23578-2019")</f>
        <v/>
      </c>
      <c r="X14">
        <f>HYPERLINK("https://klasma.github.io/Logging_1401/tillsyn/A 23578-2019 tillsynsbegäran.docx", "A 23578-2019")</f>
        <v/>
      </c>
      <c r="Y14">
        <f>HYPERLINK("https://klasma.github.io/Logging_1401/tillsynsmail/A 23578-2019 tillsynsbegäran mail.docx", "A 23578-2019")</f>
        <v/>
      </c>
      <c r="Z14">
        <f>HYPERLINK("https://klasma.github.io/Logging_1401/fåglar/A 23578-2019 prioriterade fågelarter.docx", "A 23578-2019")</f>
        <v/>
      </c>
    </row>
    <row r="15" ht="15" customHeight="1">
      <c r="A15" t="inlineStr">
        <is>
          <t>A 52875-2019</t>
        </is>
      </c>
      <c r="B15" s="1" t="n">
        <v>43746</v>
      </c>
      <c r="C15" s="1" t="n">
        <v>45663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52875-2019 artfynd.xlsx", "A 52875-2019")</f>
        <v/>
      </c>
      <c r="T15">
        <f>HYPERLINK("https://klasma.github.io/Logging_1401/kartor/A 52875-2019 karta.png", "A 52875-2019")</f>
        <v/>
      </c>
      <c r="V15">
        <f>HYPERLINK("https://klasma.github.io/Logging_1401/klagomål/A 52875-2019 FSC-klagomål.docx", "A 52875-2019")</f>
        <v/>
      </c>
      <c r="W15">
        <f>HYPERLINK("https://klasma.github.io/Logging_1401/klagomålsmail/A 52875-2019 FSC-klagomål mail.docx", "A 52875-2019")</f>
        <v/>
      </c>
      <c r="X15">
        <f>HYPERLINK("https://klasma.github.io/Logging_1401/tillsyn/A 52875-2019 tillsynsbegäran.docx", "A 52875-2019")</f>
        <v/>
      </c>
      <c r="Y15">
        <f>HYPERLINK("https://klasma.github.io/Logging_1401/tillsynsmail/A 52875-2019 tillsynsbegäran mail.docx", "A 52875-2019")</f>
        <v/>
      </c>
      <c r="Z15">
        <f>HYPERLINK("https://klasma.github.io/Logging_1401/fåglar/A 52875-2019 prioriterade fågelarter.docx", "A 52875-2019")</f>
        <v/>
      </c>
    </row>
    <row r="16" ht="15" customHeight="1">
      <c r="A16" t="inlineStr">
        <is>
          <t>A 14791-2020</t>
        </is>
      </c>
      <c r="B16" s="1" t="n">
        <v>43909</v>
      </c>
      <c r="C16" s="1" t="n">
        <v>45663</v>
      </c>
      <c r="D16" t="inlineStr">
        <is>
          <t>VÄSTRA GÖTALANDS LÄN</t>
        </is>
      </c>
      <c r="E16" t="inlineStr">
        <is>
          <t>HÄRRYDA</t>
        </is>
      </c>
      <c r="F16" t="inlineStr">
        <is>
          <t>Kommuner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HYPERLINK("https://klasma.github.io/Logging_1401/artfynd/A 14791-2020 artfynd.xlsx", "A 14791-2020")</f>
        <v/>
      </c>
      <c r="T16">
        <f>HYPERLINK("https://klasma.github.io/Logging_1401/kartor/A 14791-2020 karta.png", "A 14791-2020")</f>
        <v/>
      </c>
      <c r="V16">
        <f>HYPERLINK("https://klasma.github.io/Logging_1401/klagomål/A 14791-2020 FSC-klagomål.docx", "A 14791-2020")</f>
        <v/>
      </c>
      <c r="W16">
        <f>HYPERLINK("https://klasma.github.io/Logging_1401/klagomålsmail/A 14791-2020 FSC-klagomål mail.docx", "A 14791-2020")</f>
        <v/>
      </c>
      <c r="X16">
        <f>HYPERLINK("https://klasma.github.io/Logging_1401/tillsyn/A 14791-2020 tillsynsbegäran.docx", "A 14791-2020")</f>
        <v/>
      </c>
      <c r="Y16">
        <f>HYPERLINK("https://klasma.github.io/Logging_1401/tillsynsmail/A 14791-2020 tillsynsbegäran mail.docx", "A 14791-2020")</f>
        <v/>
      </c>
    </row>
    <row r="17" ht="15" customHeight="1">
      <c r="A17" t="inlineStr">
        <is>
          <t>A 18853-2020</t>
        </is>
      </c>
      <c r="B17" s="1" t="n">
        <v>43929</v>
      </c>
      <c r="C17" s="1" t="n">
        <v>45663</v>
      </c>
      <c r="D17" t="inlineStr">
        <is>
          <t>VÄSTRA GÖTALANDS LÄN</t>
        </is>
      </c>
      <c r="E17" t="inlineStr">
        <is>
          <t>HÄRRYDA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18853-2020 artfynd.xlsx", "A 18853-2020")</f>
        <v/>
      </c>
      <c r="T17">
        <f>HYPERLINK("https://klasma.github.io/Logging_1401/kartor/A 18853-2020 karta.png", "A 18853-2020")</f>
        <v/>
      </c>
      <c r="V17">
        <f>HYPERLINK("https://klasma.github.io/Logging_1401/klagomål/A 18853-2020 FSC-klagomål.docx", "A 18853-2020")</f>
        <v/>
      </c>
      <c r="W17">
        <f>HYPERLINK("https://klasma.github.io/Logging_1401/klagomålsmail/A 18853-2020 FSC-klagomål mail.docx", "A 18853-2020")</f>
        <v/>
      </c>
      <c r="X17">
        <f>HYPERLINK("https://klasma.github.io/Logging_1401/tillsyn/A 18853-2020 tillsynsbegäran.docx", "A 18853-2020")</f>
        <v/>
      </c>
      <c r="Y17">
        <f>HYPERLINK("https://klasma.github.io/Logging_1401/tillsynsmail/A 18853-2020 tillsynsbegäran mail.docx", "A 18853-2020")</f>
        <v/>
      </c>
    </row>
    <row r="18" ht="15" customHeight="1">
      <c r="A18" t="inlineStr">
        <is>
          <t>A 64734-2020</t>
        </is>
      </c>
      <c r="B18" s="1" t="n">
        <v>44169</v>
      </c>
      <c r="C18" s="1" t="n">
        <v>45663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64734-2020 artfynd.xlsx", "A 64734-2020")</f>
        <v/>
      </c>
      <c r="T18">
        <f>HYPERLINK("https://klasma.github.io/Logging_1401/kartor/A 64734-2020 karta.png", "A 64734-2020")</f>
        <v/>
      </c>
      <c r="V18">
        <f>HYPERLINK("https://klasma.github.io/Logging_1401/klagomål/A 64734-2020 FSC-klagomål.docx", "A 64734-2020")</f>
        <v/>
      </c>
      <c r="W18">
        <f>HYPERLINK("https://klasma.github.io/Logging_1401/klagomålsmail/A 64734-2020 FSC-klagomål mail.docx", "A 64734-2020")</f>
        <v/>
      </c>
      <c r="X18">
        <f>HYPERLINK("https://klasma.github.io/Logging_1401/tillsyn/A 64734-2020 tillsynsbegäran.docx", "A 64734-2020")</f>
        <v/>
      </c>
      <c r="Y18">
        <f>HYPERLINK("https://klasma.github.io/Logging_1401/tillsynsmail/A 64734-2020 tillsynsbegäran mail.docx", "A 64734-2020")</f>
        <v/>
      </c>
      <c r="Z18">
        <f>HYPERLINK("https://klasma.github.io/Logging_1401/fåglar/A 64734-2020 prioriterade fågelarter.docx", "A 64734-2020")</f>
        <v/>
      </c>
    </row>
    <row r="19" ht="15" customHeight="1">
      <c r="A19" t="inlineStr">
        <is>
          <t>A 7814-2021</t>
        </is>
      </c>
      <c r="B19" s="1" t="n">
        <v>44242</v>
      </c>
      <c r="C19" s="1" t="n">
        <v>45663</v>
      </c>
      <c r="D19" t="inlineStr">
        <is>
          <t>VÄSTRA GÖTALANDS LÄN</t>
        </is>
      </c>
      <c r="E19" t="inlineStr">
        <is>
          <t>HÄRRYDA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HYPERLINK("https://klasma.github.io/Logging_1401/artfynd/A 7814-2021 artfynd.xlsx", "A 7814-2021")</f>
        <v/>
      </c>
      <c r="T19">
        <f>HYPERLINK("https://klasma.github.io/Logging_1401/kartor/A 7814-2021 karta.png", "A 7814-2021")</f>
        <v/>
      </c>
      <c r="V19">
        <f>HYPERLINK("https://klasma.github.io/Logging_1401/klagomål/A 7814-2021 FSC-klagomål.docx", "A 7814-2021")</f>
        <v/>
      </c>
      <c r="W19">
        <f>HYPERLINK("https://klasma.github.io/Logging_1401/klagomålsmail/A 7814-2021 FSC-klagomål mail.docx", "A 7814-2021")</f>
        <v/>
      </c>
      <c r="X19">
        <f>HYPERLINK("https://klasma.github.io/Logging_1401/tillsyn/A 7814-2021 tillsynsbegäran.docx", "A 7814-2021")</f>
        <v/>
      </c>
      <c r="Y19">
        <f>HYPERLINK("https://klasma.github.io/Logging_1401/tillsynsmail/A 7814-2021 tillsynsbegäran mail.docx", "A 7814-2021")</f>
        <v/>
      </c>
    </row>
    <row r="20" ht="15" customHeight="1">
      <c r="A20" t="inlineStr">
        <is>
          <t>A 53203-2021</t>
        </is>
      </c>
      <c r="B20" s="1" t="n">
        <v>44468</v>
      </c>
      <c r="C20" s="1" t="n">
        <v>45663</v>
      </c>
      <c r="D20" t="inlineStr">
        <is>
          <t>VÄSTRA GÖTALANDS LÄN</t>
        </is>
      </c>
      <c r="E20" t="inlineStr">
        <is>
          <t>HÄRRYDA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53203-2021 artfynd.xlsx", "A 53203-2021")</f>
        <v/>
      </c>
      <c r="T20">
        <f>HYPERLINK("https://klasma.github.io/Logging_1401/kartor/A 53203-2021 karta.png", "A 53203-2021")</f>
        <v/>
      </c>
      <c r="V20">
        <f>HYPERLINK("https://klasma.github.io/Logging_1401/klagomål/A 53203-2021 FSC-klagomål.docx", "A 53203-2021")</f>
        <v/>
      </c>
      <c r="W20">
        <f>HYPERLINK("https://klasma.github.io/Logging_1401/klagomålsmail/A 53203-2021 FSC-klagomål mail.docx", "A 53203-2021")</f>
        <v/>
      </c>
      <c r="X20">
        <f>HYPERLINK("https://klasma.github.io/Logging_1401/tillsyn/A 53203-2021 tillsynsbegäran.docx", "A 53203-2021")</f>
        <v/>
      </c>
      <c r="Y20">
        <f>HYPERLINK("https://klasma.github.io/Logging_1401/tillsynsmail/A 53203-2021 tillsynsbegäran mail.docx", "A 53203-2021")</f>
        <v/>
      </c>
    </row>
    <row r="21" ht="15" customHeight="1">
      <c r="A21" t="inlineStr">
        <is>
          <t>A 64860-2021</t>
        </is>
      </c>
      <c r="B21" s="1" t="n">
        <v>44512</v>
      </c>
      <c r="C21" s="1" t="n">
        <v>45663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21.3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HYPERLINK("https://klasma.github.io/Logging_1401/artfynd/A 64860-2021 artfynd.xlsx", "A 64860-2021")</f>
        <v/>
      </c>
      <c r="T21">
        <f>HYPERLINK("https://klasma.github.io/Logging_1401/kartor/A 64860-2021 karta.png", "A 64860-2021")</f>
        <v/>
      </c>
      <c r="V21">
        <f>HYPERLINK("https://klasma.github.io/Logging_1401/klagomål/A 64860-2021 FSC-klagomål.docx", "A 64860-2021")</f>
        <v/>
      </c>
      <c r="W21">
        <f>HYPERLINK("https://klasma.github.io/Logging_1401/klagomålsmail/A 64860-2021 FSC-klagomål mail.docx", "A 64860-2021")</f>
        <v/>
      </c>
      <c r="X21">
        <f>HYPERLINK("https://klasma.github.io/Logging_1401/tillsyn/A 64860-2021 tillsynsbegäran.docx", "A 64860-2021")</f>
        <v/>
      </c>
      <c r="Y21">
        <f>HYPERLINK("https://klasma.github.io/Logging_1401/tillsynsmail/A 64860-2021 tillsynsbegäran mail.docx", "A 64860-2021")</f>
        <v/>
      </c>
    </row>
    <row r="22" ht="15" customHeight="1">
      <c r="A22" t="inlineStr">
        <is>
          <t>A 20640-2022</t>
        </is>
      </c>
      <c r="B22" s="1" t="n">
        <v>44700</v>
      </c>
      <c r="C22" s="1" t="n">
        <v>45663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20640-2022 artfynd.xlsx", "A 20640-2022")</f>
        <v/>
      </c>
      <c r="T22">
        <f>HYPERLINK("https://klasma.github.io/Logging_1401/kartor/A 20640-2022 karta.png", "A 20640-2022")</f>
        <v/>
      </c>
      <c r="V22">
        <f>HYPERLINK("https://klasma.github.io/Logging_1401/klagomål/A 20640-2022 FSC-klagomål.docx", "A 20640-2022")</f>
        <v/>
      </c>
      <c r="W22">
        <f>HYPERLINK("https://klasma.github.io/Logging_1401/klagomålsmail/A 20640-2022 FSC-klagomål mail.docx", "A 20640-2022")</f>
        <v/>
      </c>
      <c r="X22">
        <f>HYPERLINK("https://klasma.github.io/Logging_1401/tillsyn/A 20640-2022 tillsynsbegäran.docx", "A 20640-2022")</f>
        <v/>
      </c>
      <c r="Y22">
        <f>HYPERLINK("https://klasma.github.io/Logging_1401/tillsynsmail/A 20640-2022 tillsynsbegäran mail.docx", "A 20640-2022")</f>
        <v/>
      </c>
    </row>
    <row r="23" ht="15" customHeight="1">
      <c r="A23" t="inlineStr">
        <is>
          <t>A 16802-2023</t>
        </is>
      </c>
      <c r="B23" s="1" t="n">
        <v>45033</v>
      </c>
      <c r="C23" s="1" t="n">
        <v>45663</v>
      </c>
      <c r="D23" t="inlineStr">
        <is>
          <t>VÄSTRA GÖTALANDS LÄN</t>
        </is>
      </c>
      <c r="E23" t="inlineStr">
        <is>
          <t>HÄRRYDA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HYPERLINK("https://klasma.github.io/Logging_1401/artfynd/A 16802-2023 artfynd.xlsx", "A 16802-2023")</f>
        <v/>
      </c>
      <c r="T23">
        <f>HYPERLINK("https://klasma.github.io/Logging_1401/kartor/A 16802-2023 karta.png", "A 16802-2023")</f>
        <v/>
      </c>
      <c r="V23">
        <f>HYPERLINK("https://klasma.github.io/Logging_1401/klagomål/A 16802-2023 FSC-klagomål.docx", "A 16802-2023")</f>
        <v/>
      </c>
      <c r="W23">
        <f>HYPERLINK("https://klasma.github.io/Logging_1401/klagomålsmail/A 16802-2023 FSC-klagomål mail.docx", "A 16802-2023")</f>
        <v/>
      </c>
      <c r="X23">
        <f>HYPERLINK("https://klasma.github.io/Logging_1401/tillsyn/A 16802-2023 tillsynsbegäran.docx", "A 16802-2023")</f>
        <v/>
      </c>
      <c r="Y23">
        <f>HYPERLINK("https://klasma.github.io/Logging_1401/tillsynsmail/A 16802-2023 tillsynsbegäran mail.docx", "A 16802-2023")</f>
        <v/>
      </c>
      <c r="Z23">
        <f>HYPERLINK("https://klasma.github.io/Logging_1401/fåglar/A 16802-2023 prioriterade fågelarter.docx", "A 16802-2023")</f>
        <v/>
      </c>
    </row>
    <row r="24" ht="15" customHeight="1">
      <c r="A24" t="inlineStr">
        <is>
          <t>A 21101-2023</t>
        </is>
      </c>
      <c r="B24" s="1" t="n">
        <v>45061</v>
      </c>
      <c r="C24" s="1" t="n">
        <v>45663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HYPERLINK("https://klasma.github.io/Logging_1401/artfynd/A 21101-2023 artfynd.xlsx", "A 21101-2023")</f>
        <v/>
      </c>
      <c r="T24">
        <f>HYPERLINK("https://klasma.github.io/Logging_1401/kartor/A 21101-2023 karta.png", "A 21101-2023")</f>
        <v/>
      </c>
      <c r="V24">
        <f>HYPERLINK("https://klasma.github.io/Logging_1401/klagomål/A 21101-2023 FSC-klagomål.docx", "A 21101-2023")</f>
        <v/>
      </c>
      <c r="W24">
        <f>HYPERLINK("https://klasma.github.io/Logging_1401/klagomålsmail/A 21101-2023 FSC-klagomål mail.docx", "A 21101-2023")</f>
        <v/>
      </c>
      <c r="X24">
        <f>HYPERLINK("https://klasma.github.io/Logging_1401/tillsyn/A 21101-2023 tillsynsbegäran.docx", "A 21101-2023")</f>
        <v/>
      </c>
      <c r="Y24">
        <f>HYPERLINK("https://klasma.github.io/Logging_1401/tillsynsmail/A 21101-2023 tillsynsbegäran mail.docx", "A 21101-2023")</f>
        <v/>
      </c>
    </row>
    <row r="25" ht="15" customHeight="1">
      <c r="A25" t="inlineStr">
        <is>
          <t>A 26330-2023</t>
        </is>
      </c>
      <c r="B25" s="1" t="n">
        <v>45091</v>
      </c>
      <c r="C25" s="1" t="n">
        <v>45663</v>
      </c>
      <c r="D25" t="inlineStr">
        <is>
          <t>VÄSTRA GÖTALANDS LÄN</t>
        </is>
      </c>
      <c r="E25" t="inlineStr">
        <is>
          <t>HÄRRYDA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26330-2023 artfynd.xlsx", "A 26330-2023")</f>
        <v/>
      </c>
      <c r="T25">
        <f>HYPERLINK("https://klasma.github.io/Logging_1401/kartor/A 26330-2023 karta.png", "A 26330-2023")</f>
        <v/>
      </c>
      <c r="V25">
        <f>HYPERLINK("https://klasma.github.io/Logging_1401/klagomål/A 26330-2023 FSC-klagomål.docx", "A 26330-2023")</f>
        <v/>
      </c>
      <c r="W25">
        <f>HYPERLINK("https://klasma.github.io/Logging_1401/klagomålsmail/A 26330-2023 FSC-klagomål mail.docx", "A 26330-2023")</f>
        <v/>
      </c>
      <c r="X25">
        <f>HYPERLINK("https://klasma.github.io/Logging_1401/tillsyn/A 26330-2023 tillsynsbegäran.docx", "A 26330-2023")</f>
        <v/>
      </c>
      <c r="Y25">
        <f>HYPERLINK("https://klasma.github.io/Logging_1401/tillsynsmail/A 26330-2023 tillsynsbegäran mail.docx", "A 26330-2023")</f>
        <v/>
      </c>
    </row>
    <row r="26" ht="15" customHeight="1">
      <c r="A26" t="inlineStr">
        <is>
          <t>A 41444-2023</t>
        </is>
      </c>
      <c r="B26" s="1" t="n">
        <v>45175</v>
      </c>
      <c r="C26" s="1" t="n">
        <v>45663</v>
      </c>
      <c r="D26" t="inlineStr">
        <is>
          <t>VÄSTRA GÖTALANDS LÄN</t>
        </is>
      </c>
      <c r="E26" t="inlineStr">
        <is>
          <t>HÄRRYDA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41444-2023 artfynd.xlsx", "A 41444-2023")</f>
        <v/>
      </c>
      <c r="T26">
        <f>HYPERLINK("https://klasma.github.io/Logging_1401/kartor/A 41444-2023 karta.png", "A 41444-2023")</f>
        <v/>
      </c>
      <c r="V26">
        <f>HYPERLINK("https://klasma.github.io/Logging_1401/klagomål/A 41444-2023 FSC-klagomål.docx", "A 41444-2023")</f>
        <v/>
      </c>
      <c r="W26">
        <f>HYPERLINK("https://klasma.github.io/Logging_1401/klagomålsmail/A 41444-2023 FSC-klagomål mail.docx", "A 41444-2023")</f>
        <v/>
      </c>
      <c r="X26">
        <f>HYPERLINK("https://klasma.github.io/Logging_1401/tillsyn/A 41444-2023 tillsynsbegäran.docx", "A 41444-2023")</f>
        <v/>
      </c>
      <c r="Y26">
        <f>HYPERLINK("https://klasma.github.io/Logging_1401/tillsynsmail/A 41444-2023 tillsynsbegäran mail.docx", "A 41444-2023")</f>
        <v/>
      </c>
    </row>
    <row r="27" ht="15" customHeight="1">
      <c r="A27" t="inlineStr">
        <is>
          <t>A 55686-2023</t>
        </is>
      </c>
      <c r="B27" s="1" t="n">
        <v>45239</v>
      </c>
      <c r="C27" s="1" t="n">
        <v>45663</v>
      </c>
      <c r="D27" t="inlineStr">
        <is>
          <t>VÄSTRA GÖTALANDS LÄN</t>
        </is>
      </c>
      <c r="E27" t="inlineStr">
        <is>
          <t>HÄRRYDA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HYPERLINK("https://klasma.github.io/Logging_1401/artfynd/A 55686-2023 artfynd.xlsx", "A 55686-2023")</f>
        <v/>
      </c>
      <c r="T27">
        <f>HYPERLINK("https://klasma.github.io/Logging_1401/kartor/A 55686-2023 karta.png", "A 55686-2023")</f>
        <v/>
      </c>
      <c r="V27">
        <f>HYPERLINK("https://klasma.github.io/Logging_1401/klagomål/A 55686-2023 FSC-klagomål.docx", "A 55686-2023")</f>
        <v/>
      </c>
      <c r="W27">
        <f>HYPERLINK("https://klasma.github.io/Logging_1401/klagomålsmail/A 55686-2023 FSC-klagomål mail.docx", "A 55686-2023")</f>
        <v/>
      </c>
      <c r="X27">
        <f>HYPERLINK("https://klasma.github.io/Logging_1401/tillsyn/A 55686-2023 tillsynsbegäran.docx", "A 55686-2023")</f>
        <v/>
      </c>
      <c r="Y27">
        <f>HYPERLINK("https://klasma.github.io/Logging_1401/tillsynsmail/A 55686-2023 tillsynsbegäran mail.docx", "A 55686-2023")</f>
        <v/>
      </c>
      <c r="Z27">
        <f>HYPERLINK("https://klasma.github.io/Logging_1401/fåglar/A 55686-2023 prioriterade fågelarter.docx", "A 55686-2023")</f>
        <v/>
      </c>
    </row>
    <row r="28" ht="15" customHeight="1">
      <c r="A28" t="inlineStr">
        <is>
          <t>A 14426-2024</t>
        </is>
      </c>
      <c r="B28" s="1" t="n">
        <v>45394</v>
      </c>
      <c r="C28" s="1" t="n">
        <v>45663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14426-2024 artfynd.xlsx", "A 14426-2024")</f>
        <v/>
      </c>
      <c r="T28">
        <f>HYPERLINK("https://klasma.github.io/Logging_1401/kartor/A 14426-2024 karta.png", "A 14426-2024")</f>
        <v/>
      </c>
      <c r="V28">
        <f>HYPERLINK("https://klasma.github.io/Logging_1401/klagomål/A 14426-2024 FSC-klagomål.docx", "A 14426-2024")</f>
        <v/>
      </c>
      <c r="W28">
        <f>HYPERLINK("https://klasma.github.io/Logging_1401/klagomålsmail/A 14426-2024 FSC-klagomål mail.docx", "A 14426-2024")</f>
        <v/>
      </c>
      <c r="X28">
        <f>HYPERLINK("https://klasma.github.io/Logging_1401/tillsyn/A 14426-2024 tillsynsbegäran.docx", "A 14426-2024")</f>
        <v/>
      </c>
      <c r="Y28">
        <f>HYPERLINK("https://klasma.github.io/Logging_1401/tillsynsmail/A 14426-2024 tillsynsbegäran mail.docx", "A 14426-2024")</f>
        <v/>
      </c>
    </row>
    <row r="29" ht="15" customHeight="1">
      <c r="A29" t="inlineStr">
        <is>
          <t>A 43202-2024</t>
        </is>
      </c>
      <c r="B29" s="1" t="n">
        <v>45567</v>
      </c>
      <c r="C29" s="1" t="n">
        <v>45663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HYPERLINK("https://klasma.github.io/Logging_1401/artfynd/A 43202-2024 artfynd.xlsx", "A 43202-2024")</f>
        <v/>
      </c>
      <c r="T29">
        <f>HYPERLINK("https://klasma.github.io/Logging_1401/kartor/A 43202-2024 karta.png", "A 43202-2024")</f>
        <v/>
      </c>
      <c r="V29">
        <f>HYPERLINK("https://klasma.github.io/Logging_1401/klagomål/A 43202-2024 FSC-klagomål.docx", "A 43202-2024")</f>
        <v/>
      </c>
      <c r="W29">
        <f>HYPERLINK("https://klasma.github.io/Logging_1401/klagomålsmail/A 43202-2024 FSC-klagomål mail.docx", "A 43202-2024")</f>
        <v/>
      </c>
      <c r="X29">
        <f>HYPERLINK("https://klasma.github.io/Logging_1401/tillsyn/A 43202-2024 tillsynsbegäran.docx", "A 43202-2024")</f>
        <v/>
      </c>
      <c r="Y29">
        <f>HYPERLINK("https://klasma.github.io/Logging_1401/tillsynsmail/A 43202-2024 tillsynsbegäran mail.docx", "A 43202-2024")</f>
        <v/>
      </c>
    </row>
    <row r="30" ht="15" customHeight="1">
      <c r="A30" t="inlineStr">
        <is>
          <t>A 18489-2019</t>
        </is>
      </c>
      <c r="B30" s="1" t="n">
        <v>43559</v>
      </c>
      <c r="C30" s="1" t="n">
        <v>45663</v>
      </c>
      <c r="D30" t="inlineStr">
        <is>
          <t>VÄSTRA GÖTALANDS LÄN</t>
        </is>
      </c>
      <c r="E30" t="inlineStr">
        <is>
          <t>HÄRRYDA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19200-2019</t>
        </is>
      </c>
      <c r="B31" s="1" t="n">
        <v>43564</v>
      </c>
      <c r="C31" s="1" t="n">
        <v>45663</v>
      </c>
      <c r="D31" t="inlineStr">
        <is>
          <t>VÄSTRA GÖTALANDS LÄN</t>
        </is>
      </c>
      <c r="E31" t="inlineStr">
        <is>
          <t>HÄRRYDA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19688-2019</t>
        </is>
      </c>
      <c r="B32" s="1" t="n">
        <v>43566</v>
      </c>
      <c r="C32" s="1" t="n">
        <v>45663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19826-2019</t>
        </is>
      </c>
      <c r="B33" s="1" t="n">
        <v>43567</v>
      </c>
      <c r="C33" s="1" t="n">
        <v>45663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20315-2019</t>
        </is>
      </c>
      <c r="B34" s="1" t="n">
        <v>43570</v>
      </c>
      <c r="C34" s="1" t="n">
        <v>45663</v>
      </c>
      <c r="D34" t="inlineStr">
        <is>
          <t>VÄSTRA GÖTALANDS LÄN</t>
        </is>
      </c>
      <c r="E34" t="inlineStr">
        <is>
          <t>HÄRRYDA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22530-2019</t>
        </is>
      </c>
      <c r="B35" s="1" t="n">
        <v>43587</v>
      </c>
      <c r="C35" s="1" t="n">
        <v>45663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22860-2019</t>
        </is>
      </c>
      <c r="B36" s="1" t="n">
        <v>43591</v>
      </c>
      <c r="C36" s="1" t="n">
        <v>45663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23408-2019</t>
        </is>
      </c>
      <c r="B37" s="1" t="n">
        <v>43593</v>
      </c>
      <c r="C37" s="1" t="n">
        <v>45663</v>
      </c>
      <c r="D37" t="inlineStr">
        <is>
          <t>VÄSTRA GÖTALANDS LÄN</t>
        </is>
      </c>
      <c r="E37" t="inlineStr">
        <is>
          <t>HÄRRYDA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30800-2019</t>
        </is>
      </c>
      <c r="B38" s="1" t="n">
        <v>43636</v>
      </c>
      <c r="C38" s="1" t="n">
        <v>45663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31392-2019</t>
        </is>
      </c>
      <c r="B39" s="1" t="n">
        <v>43641</v>
      </c>
      <c r="C39" s="1" t="n">
        <v>45663</v>
      </c>
      <c r="D39" t="inlineStr">
        <is>
          <t>VÄSTRA GÖTALANDS LÄN</t>
        </is>
      </c>
      <c r="E39" t="inlineStr">
        <is>
          <t>HÄRRYDA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34993-2019</t>
        </is>
      </c>
      <c r="B40" s="1" t="n">
        <v>43660</v>
      </c>
      <c r="C40" s="1" t="n">
        <v>45663</v>
      </c>
      <c r="D40" t="inlineStr">
        <is>
          <t>VÄSTRA GÖTALANDS LÄN</t>
        </is>
      </c>
      <c r="E40" t="inlineStr">
        <is>
          <t>HÄRRYDA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49797-2019</t>
        </is>
      </c>
      <c r="B41" s="1" t="n">
        <v>43733</v>
      </c>
      <c r="C41" s="1" t="n">
        <v>45663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49806-2019</t>
        </is>
      </c>
      <c r="B42" s="1" t="n">
        <v>43733</v>
      </c>
      <c r="C42" s="1" t="n">
        <v>45663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50168-2019</t>
        </is>
      </c>
      <c r="B43" s="1" t="n">
        <v>43734</v>
      </c>
      <c r="C43" s="1" t="n">
        <v>45663</v>
      </c>
      <c r="D43" t="inlineStr">
        <is>
          <t>VÄSTRA GÖTALANDS LÄN</t>
        </is>
      </c>
      <c r="E43" t="inlineStr">
        <is>
          <t>HÄRRYDA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53137-2019</t>
        </is>
      </c>
      <c r="B44" s="1" t="n">
        <v>43740</v>
      </c>
      <c r="C44" s="1" t="n">
        <v>45663</v>
      </c>
      <c r="D44" t="inlineStr">
        <is>
          <t>VÄSTRA GÖTALANDS LÄN</t>
        </is>
      </c>
      <c r="E44" t="inlineStr">
        <is>
          <t>HÄRRYDA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64721-2019</t>
        </is>
      </c>
      <c r="B45" s="1" t="n">
        <v>43800</v>
      </c>
      <c r="C45" s="1" t="n">
        <v>45663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64722-2019</t>
        </is>
      </c>
      <c r="B46" s="1" t="n">
        <v>43800</v>
      </c>
      <c r="C46" s="1" t="n">
        <v>45663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64724-2019</t>
        </is>
      </c>
      <c r="B47" s="1" t="n">
        <v>43800</v>
      </c>
      <c r="C47" s="1" t="n">
        <v>45663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65186-2019</t>
        </is>
      </c>
      <c r="B48" s="1" t="n">
        <v>43802</v>
      </c>
      <c r="C48" s="1" t="n">
        <v>45663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65268-2019</t>
        </is>
      </c>
      <c r="B49" s="1" t="n">
        <v>43802</v>
      </c>
      <c r="C49" s="1" t="n">
        <v>45663</v>
      </c>
      <c r="D49" t="inlineStr">
        <is>
          <t>VÄSTRA GÖTALANDS LÄN</t>
        </is>
      </c>
      <c r="E49" t="inlineStr">
        <is>
          <t>HÄRRYDA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65693-2019</t>
        </is>
      </c>
      <c r="B50" s="1" t="n">
        <v>43804</v>
      </c>
      <c r="C50" s="1" t="n">
        <v>45663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65688-2019</t>
        </is>
      </c>
      <c r="B51" s="1" t="n">
        <v>43804</v>
      </c>
      <c r="C51" s="1" t="n">
        <v>45663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65687-2019</t>
        </is>
      </c>
      <c r="B52" s="1" t="n">
        <v>43804</v>
      </c>
      <c r="C52" s="1" t="n">
        <v>45663</v>
      </c>
      <c r="D52" t="inlineStr">
        <is>
          <t>VÄSTRA GÖTALANDS LÄN</t>
        </is>
      </c>
      <c r="E52" t="inlineStr">
        <is>
          <t>HÄRRYDA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65670-2019</t>
        </is>
      </c>
      <c r="B53" s="1" t="n">
        <v>43804</v>
      </c>
      <c r="C53" s="1" t="n">
        <v>45663</v>
      </c>
      <c r="D53" t="inlineStr">
        <is>
          <t>VÄSTRA GÖTALANDS LÄN</t>
        </is>
      </c>
      <c r="E53" t="inlineStr">
        <is>
          <t>HÄRRYDA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1502-2020</t>
        </is>
      </c>
      <c r="B54" s="1" t="n">
        <v>43826</v>
      </c>
      <c r="C54" s="1" t="n">
        <v>45663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587-2020</t>
        </is>
      </c>
      <c r="B55" s="1" t="n">
        <v>43838</v>
      </c>
      <c r="C55" s="1" t="n">
        <v>45663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6168-2020</t>
        </is>
      </c>
      <c r="B56" s="1" t="n">
        <v>43865</v>
      </c>
      <c r="C56" s="1" t="n">
        <v>45663</v>
      </c>
      <c r="D56" t="inlineStr">
        <is>
          <t>VÄSTRA GÖTALANDS LÄN</t>
        </is>
      </c>
      <c r="E56" t="inlineStr">
        <is>
          <t>HÄRRYDA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8467-2020</t>
        </is>
      </c>
      <c r="B57" s="1" t="n">
        <v>43875</v>
      </c>
      <c r="C57" s="1" t="n">
        <v>45663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10270-2020</t>
        </is>
      </c>
      <c r="B58" s="1" t="n">
        <v>43887</v>
      </c>
      <c r="C58" s="1" t="n">
        <v>45663</v>
      </c>
      <c r="D58" t="inlineStr">
        <is>
          <t>VÄSTRA GÖTALANDS LÄN</t>
        </is>
      </c>
      <c r="E58" t="inlineStr">
        <is>
          <t>HÄRRYDA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14779-2020</t>
        </is>
      </c>
      <c r="B59" s="1" t="n">
        <v>43909</v>
      </c>
      <c r="C59" s="1" t="n">
        <v>45663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15234-2020</t>
        </is>
      </c>
      <c r="B60" s="1" t="n">
        <v>43913</v>
      </c>
      <c r="C60" s="1" t="n">
        <v>45663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15265-2020</t>
        </is>
      </c>
      <c r="B61" s="1" t="n">
        <v>43913</v>
      </c>
      <c r="C61" s="1" t="n">
        <v>45663</v>
      </c>
      <c r="D61" t="inlineStr">
        <is>
          <t>VÄSTRA GÖTALANDS LÄN</t>
        </is>
      </c>
      <c r="E61" t="inlineStr">
        <is>
          <t>HÄRRYDA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15597-2020</t>
        </is>
      </c>
      <c r="B62" s="1" t="n">
        <v>43914</v>
      </c>
      <c r="C62" s="1" t="n">
        <v>45663</v>
      </c>
      <c r="D62" t="inlineStr">
        <is>
          <t>VÄSTRA GÖTALANDS LÄN</t>
        </is>
      </c>
      <c r="E62" t="inlineStr">
        <is>
          <t>HÄRRYDA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15846-2020</t>
        </is>
      </c>
      <c r="B63" s="1" t="n">
        <v>43915</v>
      </c>
      <c r="C63" s="1" t="n">
        <v>45663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18847-2020</t>
        </is>
      </c>
      <c r="B64" s="1" t="n">
        <v>43929</v>
      </c>
      <c r="C64" s="1" t="n">
        <v>45663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18849-2020</t>
        </is>
      </c>
      <c r="B65" s="1" t="n">
        <v>43929</v>
      </c>
      <c r="C65" s="1" t="n">
        <v>45663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21685-2020</t>
        </is>
      </c>
      <c r="B66" s="1" t="n">
        <v>43957</v>
      </c>
      <c r="C66" s="1" t="n">
        <v>45663</v>
      </c>
      <c r="D66" t="inlineStr">
        <is>
          <t>VÄSTRA GÖTALANDS LÄN</t>
        </is>
      </c>
      <c r="E66" t="inlineStr">
        <is>
          <t>HÄRRYDA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21682-2020</t>
        </is>
      </c>
      <c r="B67" s="1" t="n">
        <v>43957</v>
      </c>
      <c r="C67" s="1" t="n">
        <v>45663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24733-2020</t>
        </is>
      </c>
      <c r="B68" s="1" t="n">
        <v>43978</v>
      </c>
      <c r="C68" s="1" t="n">
        <v>45663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33262-2020</t>
        </is>
      </c>
      <c r="B69" s="1" t="n">
        <v>44022</v>
      </c>
      <c r="C69" s="1" t="n">
        <v>45663</v>
      </c>
      <c r="D69" t="inlineStr">
        <is>
          <t>VÄSTRA GÖTALANDS LÄN</t>
        </is>
      </c>
      <c r="E69" t="inlineStr">
        <is>
          <t>HÄRRYDA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37987-2020</t>
        </is>
      </c>
      <c r="B70" s="1" t="n">
        <v>44057</v>
      </c>
      <c r="C70" s="1" t="n">
        <v>45663</v>
      </c>
      <c r="D70" t="inlineStr">
        <is>
          <t>VÄSTRA GÖTALANDS LÄN</t>
        </is>
      </c>
      <c r="E70" t="inlineStr">
        <is>
          <t>HÄRRYDA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37989-2020</t>
        </is>
      </c>
      <c r="B71" s="1" t="n">
        <v>44057</v>
      </c>
      <c r="C71" s="1" t="n">
        <v>45663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43194-2020</t>
        </is>
      </c>
      <c r="B72" s="1" t="n">
        <v>44081</v>
      </c>
      <c r="C72" s="1" t="n">
        <v>45663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43198-2020</t>
        </is>
      </c>
      <c r="B73" s="1" t="n">
        <v>44081</v>
      </c>
      <c r="C73" s="1" t="n">
        <v>45663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43202-2020</t>
        </is>
      </c>
      <c r="B74" s="1" t="n">
        <v>44081</v>
      </c>
      <c r="C74" s="1" t="n">
        <v>45663</v>
      </c>
      <c r="D74" t="inlineStr">
        <is>
          <t>VÄSTRA GÖTALANDS LÄN</t>
        </is>
      </c>
      <c r="E74" t="inlineStr">
        <is>
          <t>HÄRRYDA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44647-2020</t>
        </is>
      </c>
      <c r="B75" s="1" t="n">
        <v>44085</v>
      </c>
      <c r="C75" s="1" t="n">
        <v>45663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49344-2020</t>
        </is>
      </c>
      <c r="B76" s="1" t="n">
        <v>44105</v>
      </c>
      <c r="C76" s="1" t="n">
        <v>45663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49333-2020</t>
        </is>
      </c>
      <c r="B77" s="1" t="n">
        <v>44105</v>
      </c>
      <c r="C77" s="1" t="n">
        <v>45663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51650-2020</t>
        </is>
      </c>
      <c r="B78" s="1" t="n">
        <v>44113</v>
      </c>
      <c r="C78" s="1" t="n">
        <v>45663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57067-2020</t>
        </is>
      </c>
      <c r="B79" s="1" t="n">
        <v>44138</v>
      </c>
      <c r="C79" s="1" t="n">
        <v>45663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64132-2020</t>
        </is>
      </c>
      <c r="B80" s="1" t="n">
        <v>44167</v>
      </c>
      <c r="C80" s="1" t="n">
        <v>45663</v>
      </c>
      <c r="D80" t="inlineStr">
        <is>
          <t>VÄSTRA GÖTALANDS LÄN</t>
        </is>
      </c>
      <c r="E80" t="inlineStr">
        <is>
          <t>HÄRRYDA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65462-2020</t>
        </is>
      </c>
      <c r="B81" s="1" t="n">
        <v>44173</v>
      </c>
      <c r="C81" s="1" t="n">
        <v>45663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67350-2020</t>
        </is>
      </c>
      <c r="B82" s="1" t="n">
        <v>44181</v>
      </c>
      <c r="C82" s="1" t="n">
        <v>45663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3655-2021</t>
        </is>
      </c>
      <c r="B83" s="1" t="n">
        <v>44221</v>
      </c>
      <c r="C83" s="1" t="n">
        <v>45663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3648-2021</t>
        </is>
      </c>
      <c r="B84" s="1" t="n">
        <v>44221</v>
      </c>
      <c r="C84" s="1" t="n">
        <v>45663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45663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3670-2021</t>
        </is>
      </c>
      <c r="B86" s="1" t="n">
        <v>44221</v>
      </c>
      <c r="C86" s="1" t="n">
        <v>45663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3633-2021</t>
        </is>
      </c>
      <c r="B87" s="1" t="n">
        <v>44221</v>
      </c>
      <c r="C87" s="1" t="n">
        <v>45663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3644-2021</t>
        </is>
      </c>
      <c r="B88" s="1" t="n">
        <v>44221</v>
      </c>
      <c r="C88" s="1" t="n">
        <v>45663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45663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3642-2021</t>
        </is>
      </c>
      <c r="B90" s="1" t="n">
        <v>44221</v>
      </c>
      <c r="C90" s="1" t="n">
        <v>45663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45663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45663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45663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45663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45663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45663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45663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45663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45663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45663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45663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45663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45663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45663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45663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45663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45663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45663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45663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45663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45663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45663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45663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45663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45663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45663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45663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45663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45663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45663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45663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45663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45663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45663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45663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45663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45663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45663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45663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45663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45663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45663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45663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45663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45663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45663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45663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45663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45663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45663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45663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45663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45663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45663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45663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45663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45663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45663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45663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45663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45663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45663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45663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45663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45663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45663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45663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45663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45663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45663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45663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45663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45663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45663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45663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45663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45663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45663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45663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45663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45663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45663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45663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45663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45663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45663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45663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45663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45663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45663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45663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45663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45663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45663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45663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45663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45663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45663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45663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45663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45663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45663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45663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45663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45663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45663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45663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45663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45663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45663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45663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45663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45663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45663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45663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45663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45663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45663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45663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45663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45663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45663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45663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45663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45663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45663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45663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45663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45663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45663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45663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45663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45663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45663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45663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45663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45663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45663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45663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45663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45663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45663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45663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45663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45663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45663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45663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45663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45663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45663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45663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45663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45663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45663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45663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45663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45663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45663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45663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45663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45663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45663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45663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61874-2024</t>
        </is>
      </c>
      <c r="B254" s="1" t="n">
        <v>45651</v>
      </c>
      <c r="C254" s="1" t="n">
        <v>45663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2025-01-06T16:22:42Z</dcterms:created>
  <dcterms:modified xmlns:dcterms="http://purl.org/dc/terms/" xmlns:xsi="http://www.w3.org/2001/XMLSchema-instance" xsi:type="dcterms:W3CDTF">2025-01-06T16:22:42Z</dcterms:modified>
</cp:coreProperties>
</file>