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46294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46294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46294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46294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46294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46294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46294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46294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26989-2025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45811</v>
      </c>
      <c r="E10" s="1" t="n">
        <v>46294</v>
      </c>
      <c r="F10" t="inlineStr">
        <is>
          <t>VÄSTRA GÖTALANDS LÄN</t>
        </is>
      </c>
      <c r="G10" t="inlineStr">
        <is>
          <t>HÄRRYDA</t>
        </is>
      </c>
      <c r="I10" t="n">
        <v>4.6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Nötkråka
Kungsfågel
Vanlig groda</t>
        </is>
      </c>
      <c r="W10">
        <f>HYPERLINK("https://klasma.github.io/Logging_1401/artfynd/A 26989-2025 artfynd.xlsx", "A 26989-2025")</f>
        <v/>
      </c>
      <c r="X10">
        <f>HYPERLINK("https://klasma.github.io/Logging_1401/kartor/A 26989-2025 karta.png", "A 26989-2025")</f>
        <v/>
      </c>
      <c r="Y10">
        <f>HYPERLINK("https://klasma.github.io/Logging_1401/kartor_geotiff/A 26989-2025 georefererad karta.tif", "A 26989-2025")</f>
        <v/>
      </c>
      <c r="AA10">
        <f>HYPERLINK("https://klasma.github.io/Logging_1401/klagomål/A 26989-2025 FSC-klagomål.docx", "A 26989-2025")</f>
        <v/>
      </c>
      <c r="AB10">
        <f>HYPERLINK("https://klasma.github.io/Logging_1401/klagomålsmail/A 26989-2025 FSC-klagomål mail.docx", "A 26989-2025")</f>
        <v/>
      </c>
      <c r="AC10">
        <f>HYPERLINK("https://klasma.github.io/Logging_1401/tillsyn/A 26989-2025 tillsynsbegäran.docx", "A 26989-2025")</f>
        <v/>
      </c>
      <c r="AD10">
        <f>HYPERLINK("https://klasma.github.io/Logging_1401/tillsynsmail/A 26989-2025 tillsynsbegäran mail.docx", "A 26989-2025")</f>
        <v/>
      </c>
      <c r="AE10">
        <f>HYPERLINK("https://klasma.github.io/Logging_1401/fåglar/A 26989-2025 prioriterade fågelarter.docx", "A 26989-2025")</f>
        <v/>
      </c>
    </row>
    <row r="11" ht="15" customHeight="1">
      <c r="A11" t="inlineStr">
        <is>
          <t>A 55708-2023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45239</v>
      </c>
      <c r="E11" s="1" t="n">
        <v>46294</v>
      </c>
      <c r="F11" t="inlineStr">
        <is>
          <t>VÄSTRA GÖTALANDS LÄN</t>
        </is>
      </c>
      <c r="G11" t="inlineStr">
        <is>
          <t>HÄRRYDA</t>
        </is>
      </c>
      <c r="I11" t="n">
        <v>5.4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Grönhjon
Talltita
Kungsfågel</t>
        </is>
      </c>
      <c r="W11">
        <f>HYPERLINK("https://klasma.github.io/Logging_1401/artfynd/A 55708-2023 artfynd.xlsx", "A 55708-2023")</f>
        <v/>
      </c>
      <c r="X11">
        <f>HYPERLINK("https://klasma.github.io/Logging_1401/kartor/A 55708-2023 karta.png", "A 55708-2023")</f>
        <v/>
      </c>
      <c r="Y11">
        <f>HYPERLINK("https://klasma.github.io/Logging_1401/kartor_geotiff/A 55708-2023 georefererad karta.tif", "A 55708-2023")</f>
        <v/>
      </c>
      <c r="AA11">
        <f>HYPERLINK("https://klasma.github.io/Logging_1401/klagomål/A 55708-2023 FSC-klagomål.docx", "A 55708-2023")</f>
        <v/>
      </c>
      <c r="AB11">
        <f>HYPERLINK("https://klasma.github.io/Logging_1401/klagomålsmail/A 55708-2023 FSC-klagomål mail.docx", "A 55708-2023")</f>
        <v/>
      </c>
      <c r="AC11">
        <f>HYPERLINK("https://klasma.github.io/Logging_1401/tillsyn/A 55708-2023 tillsynsbegäran.docx", "A 55708-2023")</f>
        <v/>
      </c>
      <c r="AD11">
        <f>HYPERLINK("https://klasma.github.io/Logging_1401/tillsynsmail/A 55708-2023 tillsynsbegäran mail.docx", "A 55708-2023")</f>
        <v/>
      </c>
      <c r="AE11">
        <f>HYPERLINK("https://klasma.github.io/Logging_1401/fåglar/A 55708-2023 prioriterade fågelarter.docx", "A 55708-2023")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46294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46294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46294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46294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46294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46294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46294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46294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46294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46294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46294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27482-2025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45813</v>
      </c>
      <c r="E23" s="1" t="n">
        <v>46294</v>
      </c>
      <c r="F23" t="inlineStr">
        <is>
          <t>VÄSTRA GÖTALANDS LÄN</t>
        </is>
      </c>
      <c r="G23" t="inlineStr">
        <is>
          <t>HÄRRYDA</t>
        </is>
      </c>
      <c r="I23" t="n">
        <v>14.1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Kortskaftad ärgspik</t>
        </is>
      </c>
      <c r="W23">
        <f>HYPERLINK("https://klasma.github.io/Logging_1401/artfynd/A 27482-2025 artfynd.xlsx", "A 27482-2025")</f>
        <v/>
      </c>
      <c r="X23">
        <f>HYPERLINK("https://klasma.github.io/Logging_1401/kartor/A 27482-2025 karta.png", "A 27482-2025")</f>
        <v/>
      </c>
      <c r="Y23">
        <f>HYPERLINK("https://klasma.github.io/Logging_1401/kartor_geotiff/A 27482-2025 georefererad karta.tif", "A 27482-2025")</f>
        <v/>
      </c>
      <c r="AA23">
        <f>HYPERLINK("https://klasma.github.io/Logging_1401/klagomål/A 27482-2025 FSC-klagomål.docx", "A 27482-2025")</f>
        <v/>
      </c>
      <c r="AB23">
        <f>HYPERLINK("https://klasma.github.io/Logging_1401/klagomålsmail/A 27482-2025 FSC-klagomål mail.docx", "A 27482-2025")</f>
        <v/>
      </c>
      <c r="AC23">
        <f>HYPERLINK("https://klasma.github.io/Logging_1401/tillsyn/A 27482-2025 tillsynsbegäran.docx", "A 27482-2025")</f>
        <v/>
      </c>
      <c r="AD23">
        <f>HYPERLINK("https://klasma.github.io/Logging_1401/tillsynsmail/A 27482-2025 tillsynsbegäran mail.docx", "A 27482-2025")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46294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46294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46294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46294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46294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46294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46294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46294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46294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46294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46294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46294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46294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46294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46294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46294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46294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46294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46294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52045-2022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44873</v>
      </c>
      <c r="E43" s="1" t="n">
        <v>46294</v>
      </c>
      <c r="F43" t="inlineStr">
        <is>
          <t>VÄSTRA GÖTALANDS LÄN</t>
        </is>
      </c>
      <c r="G43" t="inlineStr">
        <is>
          <t>HÄRRYDA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51162-2023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46294</v>
      </c>
      <c r="F44" t="inlineStr">
        <is>
          <t>VÄSTRA GÖTALANDS LÄN</t>
        </is>
      </c>
      <c r="G44" t="inlineStr">
        <is>
          <t>HÄRRYDA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22271-2025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45785</v>
      </c>
      <c r="E45" s="1" t="n">
        <v>46294</v>
      </c>
      <c r="F45" t="inlineStr">
        <is>
          <t>VÄSTRA GÖTALANDS LÄN</t>
        </is>
      </c>
      <c r="G45" t="inlineStr">
        <is>
          <t>HÄRRYDA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45651</v>
      </c>
      <c r="E46" s="1" t="n">
        <v>46294</v>
      </c>
      <c r="F46" t="inlineStr">
        <is>
          <t>VÄSTRA GÖTALANDS LÄN</t>
        </is>
      </c>
      <c r="G46" t="inlineStr">
        <is>
          <t>HÄRRYDA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24542-2025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45798</v>
      </c>
      <c r="E47" s="1" t="n">
        <v>46294</v>
      </c>
      <c r="F47" t="inlineStr">
        <is>
          <t>VÄSTRA GÖTALANDS LÄN</t>
        </is>
      </c>
      <c r="G47" t="inlineStr">
        <is>
          <t>HÄRRYDA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40306-2025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45895</v>
      </c>
      <c r="E48" s="1" t="n">
        <v>46294</v>
      </c>
      <c r="F48" t="inlineStr">
        <is>
          <t>VÄSTRA GÖTALANDS LÄN</t>
        </is>
      </c>
      <c r="G48" t="inlineStr">
        <is>
          <t>HÄRRYDA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40273-2025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46294</v>
      </c>
      <c r="F49" t="inlineStr">
        <is>
          <t>VÄSTRA GÖTALANDS LÄN</t>
        </is>
      </c>
      <c r="G49" t="inlineStr">
        <is>
          <t>HÄRRYDA</t>
        </is>
      </c>
      <c r="H49" t="inlineStr">
        <is>
          <t>Sveaskog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57269-2024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46294</v>
      </c>
      <c r="F50" t="inlineStr">
        <is>
          <t>VÄSTRA GÖTALANDS LÄN</t>
        </is>
      </c>
      <c r="G50" t="inlineStr">
        <is>
          <t>HÄRRYDA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46294</v>
      </c>
      <c r="F51" t="inlineStr">
        <is>
          <t>VÄSTRA GÖTALANDS LÄN</t>
        </is>
      </c>
      <c r="G51" t="inlineStr">
        <is>
          <t>HÄRRYDA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14468-2023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46294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27513-2025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46294</v>
      </c>
      <c r="F53" t="inlineStr">
        <is>
          <t>VÄSTRA GÖTALANDS LÄN</t>
        </is>
      </c>
      <c r="G53" t="inlineStr">
        <is>
          <t>HÄRRYDA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51154-2023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46294</v>
      </c>
      <c r="F54" t="inlineStr">
        <is>
          <t>VÄSTRA GÖTALANDS LÄN</t>
        </is>
      </c>
      <c r="G54" t="inlineStr">
        <is>
          <t>HÄRRYDA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46294</v>
      </c>
      <c r="F55" t="inlineStr">
        <is>
          <t>VÄSTRA GÖTALANDS LÄN</t>
        </is>
      </c>
      <c r="G55" t="inlineStr">
        <is>
          <t>HÄRRYDA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11697-2024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46294</v>
      </c>
      <c r="F56" t="inlineStr">
        <is>
          <t>VÄSTRA GÖTALANDS LÄN</t>
        </is>
      </c>
      <c r="G56" t="inlineStr">
        <is>
          <t>HÄRRYDA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56558-2024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45625</v>
      </c>
      <c r="E57" s="1" t="n">
        <v>46294</v>
      </c>
      <c r="F57" t="inlineStr">
        <is>
          <t>VÄSTRA GÖTALANDS LÄN</t>
        </is>
      </c>
      <c r="G57" t="inlineStr">
        <is>
          <t>HÄRRYDA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45704</v>
      </c>
      <c r="E58" s="1" t="n">
        <v>46294</v>
      </c>
      <c r="F58" t="inlineStr">
        <is>
          <t>VÄSTRA GÖTALANDS LÄN</t>
        </is>
      </c>
      <c r="G58" t="inlineStr">
        <is>
          <t>HÄRRYDA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45925</v>
      </c>
      <c r="E59" s="1" t="n">
        <v>46294</v>
      </c>
      <c r="F59" t="inlineStr">
        <is>
          <t>VÄSTRA GÖTALANDS LÄN</t>
        </is>
      </c>
      <c r="G59" t="inlineStr">
        <is>
          <t>HÄRRYDA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45715</v>
      </c>
      <c r="E60" s="1" t="n">
        <v>46294</v>
      </c>
      <c r="F60" t="inlineStr">
        <is>
          <t>VÄSTRA GÖTALANDS LÄN</t>
        </is>
      </c>
      <c r="G60" t="inlineStr">
        <is>
          <t>HÄRRYDA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9494-2025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45715</v>
      </c>
      <c r="E61" s="1" t="n">
        <v>46294</v>
      </c>
      <c r="F61" t="inlineStr">
        <is>
          <t>VÄSTRA GÖTALANDS LÄN</t>
        </is>
      </c>
      <c r="G61" t="inlineStr">
        <is>
          <t>HÄRRYDA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48538-2025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46294</v>
      </c>
      <c r="F62" t="inlineStr">
        <is>
          <t>VÄSTRA GÖTALANDS LÄN</t>
        </is>
      </c>
      <c r="G62" t="inlineStr">
        <is>
          <t>HÄRRYDA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48440-2025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45935</v>
      </c>
      <c r="E63" s="1" t="n">
        <v>46294</v>
      </c>
      <c r="F63" t="inlineStr">
        <is>
          <t>VÄSTRA GÖTALANDS LÄN</t>
        </is>
      </c>
      <c r="G63" t="inlineStr">
        <is>
          <t>HÄRRYDA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48432-2025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45934</v>
      </c>
      <c r="E64" s="1" t="n">
        <v>46294</v>
      </c>
      <c r="F64" t="inlineStr">
        <is>
          <t>VÄSTRA GÖTALANDS LÄN</t>
        </is>
      </c>
      <c r="G64" t="inlineStr">
        <is>
          <t>HÄRRYDA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40053-2023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45168</v>
      </c>
      <c r="E65" s="1" t="n">
        <v>46294</v>
      </c>
      <c r="F65" t="inlineStr">
        <is>
          <t>VÄSTRA GÖTALANDS LÄN</t>
        </is>
      </c>
      <c r="G65" t="inlineStr">
        <is>
          <t>HÄRRYDA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45950</v>
      </c>
      <c r="E66" s="1" t="n">
        <v>46294</v>
      </c>
      <c r="F66" t="inlineStr">
        <is>
          <t>VÄSTRA GÖTALANDS LÄN</t>
        </is>
      </c>
      <c r="G66" t="inlineStr">
        <is>
          <t>HÄRRYDA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46294</v>
      </c>
      <c r="F67" t="inlineStr">
        <is>
          <t>VÄSTRA GÖTALANDS LÄN</t>
        </is>
      </c>
      <c r="G67" t="inlineStr">
        <is>
          <t>HÄRRYDA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45686</v>
      </c>
      <c r="E68" s="1" t="n">
        <v>46294</v>
      </c>
      <c r="F68" t="inlineStr">
        <is>
          <t>VÄSTRA GÖTALANDS LÄN</t>
        </is>
      </c>
      <c r="G68" t="inlineStr">
        <is>
          <t>HÄRRYDA</t>
        </is>
      </c>
      <c r="I68" t="n">
        <v>4.3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55273-2025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45968</v>
      </c>
      <c r="E69" s="1" t="n">
        <v>46294</v>
      </c>
      <c r="F69" t="inlineStr">
        <is>
          <t>VÄSTRA GÖTALANDS LÄN</t>
        </is>
      </c>
      <c r="G69" t="inlineStr">
        <is>
          <t>HÄRRYDA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29697-2023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45107</v>
      </c>
      <c r="E70" s="1" t="n">
        <v>46294</v>
      </c>
      <c r="F70" t="inlineStr">
        <is>
          <t>VÄSTRA GÖTALANDS LÄN</t>
        </is>
      </c>
      <c r="G70" t="inlineStr">
        <is>
          <t>HÄRRYDA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1551-2022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44573</v>
      </c>
      <c r="E71" s="1" t="n">
        <v>46294</v>
      </c>
      <c r="F71" t="inlineStr">
        <is>
          <t>VÄSTRA GÖTALANDS LÄN</t>
        </is>
      </c>
      <c r="G71" t="inlineStr">
        <is>
          <t>HÄRRYDA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13108-2023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46294</v>
      </c>
      <c r="F72" t="inlineStr">
        <is>
          <t>VÄSTRA GÖTALANDS LÄN</t>
        </is>
      </c>
      <c r="G72" t="inlineStr">
        <is>
          <t>HÄRRYDA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69563-2021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46294</v>
      </c>
      <c r="F73" t="inlineStr">
        <is>
          <t>VÄSTRA GÖTALANDS LÄN</t>
        </is>
      </c>
      <c r="G73" t="inlineStr">
        <is>
          <t>HÄRRYDA</t>
        </is>
      </c>
      <c r="I73" t="n">
        <v>2.9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60432-2022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44911</v>
      </c>
      <c r="E74" s="1" t="n">
        <v>46294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60323-2025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45994</v>
      </c>
      <c r="E75" s="1" t="n">
        <v>46294</v>
      </c>
      <c r="F75" t="inlineStr">
        <is>
          <t>VÄSTRA GÖTALANDS LÄN</t>
        </is>
      </c>
      <c r="G75" t="inlineStr">
        <is>
          <t>HÄRRYDA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16679-2025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45754</v>
      </c>
      <c r="E76" s="1" t="n">
        <v>46294</v>
      </c>
      <c r="F76" t="inlineStr">
        <is>
          <t>VÄSTRA GÖTALANDS LÄN</t>
        </is>
      </c>
      <c r="G76" t="inlineStr">
        <is>
          <t>HÄRRYDA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25726-2022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44733</v>
      </c>
      <c r="E77" s="1" t="n">
        <v>46294</v>
      </c>
      <c r="F77" t="inlineStr">
        <is>
          <t>VÄSTRA GÖTALANDS LÄN</t>
        </is>
      </c>
      <c r="G77" t="inlineStr">
        <is>
          <t>HÄRRYDA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29696-2023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45107</v>
      </c>
      <c r="E78" s="1" t="n">
        <v>46294</v>
      </c>
      <c r="F78" t="inlineStr">
        <is>
          <t>VÄSTRA GÖTALANDS LÄN</t>
        </is>
      </c>
      <c r="G78" t="inlineStr">
        <is>
          <t>HÄRRYDA</t>
        </is>
      </c>
      <c r="I78" t="n">
        <v>5.3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13951-2026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46098</v>
      </c>
      <c r="E79" s="1" t="n">
        <v>46294</v>
      </c>
      <c r="F79" t="inlineStr">
        <is>
          <t>VÄSTRA GÖTALANDS LÄN</t>
        </is>
      </c>
      <c r="G79" t="inlineStr">
        <is>
          <t>HÄRRYDA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7575-2025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45705</v>
      </c>
      <c r="E80" s="1" t="n">
        <v>46294</v>
      </c>
      <c r="F80" t="inlineStr">
        <is>
          <t>VÄSTRA GÖTALANDS LÄN</t>
        </is>
      </c>
      <c r="G80" t="inlineStr">
        <is>
          <t>HÄRRYDA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47350-2024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45587</v>
      </c>
      <c r="E81" s="1" t="n">
        <v>46294</v>
      </c>
      <c r="F81" t="inlineStr">
        <is>
          <t>VÄSTRA GÖTALANDS LÄN</t>
        </is>
      </c>
      <c r="G81" t="inlineStr">
        <is>
          <t>HÄRRYDA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15401-2026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46106</v>
      </c>
      <c r="E82" s="1" t="n">
        <v>46294</v>
      </c>
      <c r="F82" t="inlineStr">
        <is>
          <t>VÄSTRA GÖTALANDS LÄN</t>
        </is>
      </c>
      <c r="G82" t="inlineStr">
        <is>
          <t>HÄRRYDA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15700-2026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46107</v>
      </c>
      <c r="E83" s="1" t="n">
        <v>46294</v>
      </c>
      <c r="F83" t="inlineStr">
        <is>
          <t>VÄSTRA GÖTALANDS LÄN</t>
        </is>
      </c>
      <c r="G83" t="inlineStr">
        <is>
          <t>HÄRRYDA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15704-2026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46294</v>
      </c>
      <c r="F84" t="inlineStr">
        <is>
          <t>VÄSTRA GÖTALANDS LÄN</t>
        </is>
      </c>
      <c r="G84" t="inlineStr">
        <is>
          <t>HÄRRYDA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15698-2026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46107</v>
      </c>
      <c r="E85" s="1" t="n">
        <v>46294</v>
      </c>
      <c r="F85" t="inlineStr">
        <is>
          <t>VÄSTRA GÖTALANDS LÄN</t>
        </is>
      </c>
      <c r="G85" t="inlineStr">
        <is>
          <t>HÄRRYDA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45336</v>
      </c>
      <c r="E86" s="1" t="n">
        <v>46294</v>
      </c>
      <c r="F86" t="inlineStr">
        <is>
          <t>VÄSTRA GÖTALANDS LÄN</t>
        </is>
      </c>
      <c r="G86" t="inlineStr">
        <is>
          <t>HÄRRYDA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41318-2022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44826</v>
      </c>
      <c r="E87" s="1" t="n">
        <v>46294</v>
      </c>
      <c r="F87" t="inlineStr">
        <is>
          <t>VÄSTRA GÖTALANDS LÄN</t>
        </is>
      </c>
      <c r="G87" t="inlineStr">
        <is>
          <t>HÄRRYDA</t>
        </is>
      </c>
      <c r="I87" t="n">
        <v>11.5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45560</v>
      </c>
      <c r="E88" s="1" t="n">
        <v>46294</v>
      </c>
      <c r="F88" t="inlineStr">
        <is>
          <t>VÄSTRA GÖTALANDS LÄN</t>
        </is>
      </c>
      <c r="G88" t="inlineStr">
        <is>
          <t>HÄRRYDA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39761-2023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45167</v>
      </c>
      <c r="E89" s="1" t="n">
        <v>46294</v>
      </c>
      <c r="F89" t="inlineStr">
        <is>
          <t>VÄSTRA GÖTALANDS LÄN</t>
        </is>
      </c>
      <c r="G89" t="inlineStr">
        <is>
          <t>HÄRRYDA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15480-2025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45747</v>
      </c>
      <c r="E90" s="1" t="n">
        <v>46294</v>
      </c>
      <c r="F90" t="inlineStr">
        <is>
          <t>VÄSTRA GÖTALANDS LÄN</t>
        </is>
      </c>
      <c r="G90" t="inlineStr">
        <is>
          <t>HÄRRYDA</t>
        </is>
      </c>
      <c r="I90" t="n">
        <v>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39762-2023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46294</v>
      </c>
      <c r="F91" t="inlineStr">
        <is>
          <t>VÄSTRA GÖTALANDS LÄN</t>
        </is>
      </c>
      <c r="G91" t="inlineStr">
        <is>
          <t>HÄRRYDA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46002</v>
      </c>
      <c r="E92" s="1" t="n">
        <v>46294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46294</v>
      </c>
      <c r="F93" t="inlineStr">
        <is>
          <t>VÄSTRA GÖTALANDS LÄN</t>
        </is>
      </c>
      <c r="G93" t="inlineStr">
        <is>
          <t>HÄRRYDA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46294</v>
      </c>
      <c r="F94" t="inlineStr">
        <is>
          <t>VÄSTRA GÖTALANDS LÄN</t>
        </is>
      </c>
      <c r="G94" t="inlineStr">
        <is>
          <t>HÄRRYDA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47334-2024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45587</v>
      </c>
      <c r="E95" s="1" t="n">
        <v>46294</v>
      </c>
      <c r="F95" t="inlineStr">
        <is>
          <t>VÄSTRA GÖTALANDS LÄN</t>
        </is>
      </c>
      <c r="G95" t="inlineStr">
        <is>
          <t>HÄRRYDA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14183-2024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45393</v>
      </c>
      <c r="E96" s="1" t="n">
        <v>46294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72891-2021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44547</v>
      </c>
      <c r="E97" s="1" t="n">
        <v>46294</v>
      </c>
      <c r="F97" t="inlineStr">
        <is>
          <t>VÄSTRA GÖTALANDS LÄN</t>
        </is>
      </c>
      <c r="G97" t="inlineStr">
        <is>
          <t>HÄRRYDA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46294</v>
      </c>
      <c r="F98" t="inlineStr">
        <is>
          <t>VÄSTRA GÖTALANDS LÄN</t>
        </is>
      </c>
      <c r="G98" t="inlineStr">
        <is>
          <t>HÄRRYDA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46294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45336</v>
      </c>
      <c r="E100" s="1" t="n">
        <v>46294</v>
      </c>
      <c r="F100" t="inlineStr">
        <is>
          <t>VÄSTRA GÖTALANDS LÄN</t>
        </is>
      </c>
      <c r="G100" t="inlineStr">
        <is>
          <t>HÄRRYDA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23492-2022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44721</v>
      </c>
      <c r="E101" s="1" t="n">
        <v>46294</v>
      </c>
      <c r="F101" t="inlineStr">
        <is>
          <t>VÄSTRA GÖTALANDS LÄN</t>
        </is>
      </c>
      <c r="G101" t="inlineStr">
        <is>
          <t>HÄRRYDA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64560-2023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45281</v>
      </c>
      <c r="E102" s="1" t="n">
        <v>46294</v>
      </c>
      <c r="F102" t="inlineStr">
        <is>
          <t>VÄSTRA GÖTALANDS LÄN</t>
        </is>
      </c>
      <c r="G102" t="inlineStr">
        <is>
          <t>HÄRRYDA</t>
        </is>
      </c>
      <c r="I102" t="n">
        <v>7.1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45321</v>
      </c>
      <c r="E103" s="1" t="n">
        <v>46294</v>
      </c>
      <c r="F103" t="inlineStr">
        <is>
          <t>VÄSTRA GÖTALANDS LÄN</t>
        </is>
      </c>
      <c r="G103" t="inlineStr">
        <is>
          <t>HÄRRYDA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45307</v>
      </c>
      <c r="E104" s="1" t="n">
        <v>46294</v>
      </c>
      <c r="F104" t="inlineStr">
        <is>
          <t>VÄSTRA GÖTALANDS LÄN</t>
        </is>
      </c>
      <c r="G104" t="inlineStr">
        <is>
          <t>HÄRRYDA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25439-2022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44732</v>
      </c>
      <c r="E105" s="1" t="n">
        <v>46294</v>
      </c>
      <c r="F105" t="inlineStr">
        <is>
          <t>VÄSTRA GÖTALANDS LÄN</t>
        </is>
      </c>
      <c r="G105" t="inlineStr">
        <is>
          <t>HÄRRYDA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46294</v>
      </c>
      <c r="F106" t="inlineStr">
        <is>
          <t>VÄSTRA GÖTALANDS LÄN</t>
        </is>
      </c>
      <c r="G106" t="inlineStr">
        <is>
          <t>HÄRRYDA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51127-2023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45219</v>
      </c>
      <c r="E107" s="1" t="n">
        <v>46294</v>
      </c>
      <c r="F107" t="inlineStr">
        <is>
          <t>VÄSTRA GÖTALANDS LÄN</t>
        </is>
      </c>
      <c r="G107" t="inlineStr">
        <is>
          <t>HÄRRYDA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51130-2023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46294</v>
      </c>
      <c r="F108" t="inlineStr">
        <is>
          <t>VÄSTRA GÖTALANDS LÄN</t>
        </is>
      </c>
      <c r="G108" t="inlineStr">
        <is>
          <t>HÄRRYDA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2605-2024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45313</v>
      </c>
      <c r="E109" s="1" t="n">
        <v>46294</v>
      </c>
      <c r="F109" t="inlineStr">
        <is>
          <t>VÄSTRA GÖTALANDS LÄN</t>
        </is>
      </c>
      <c r="G109" t="inlineStr">
        <is>
          <t>HÄRRYDA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9785-2026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46072</v>
      </c>
      <c r="E110" s="1" t="n">
        <v>46294</v>
      </c>
      <c r="F110" t="inlineStr">
        <is>
          <t>VÄSTRA GÖTALANDS LÄN</t>
        </is>
      </c>
      <c r="G110" t="inlineStr">
        <is>
          <t>HÄRRYDA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34665-2023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45140</v>
      </c>
      <c r="E111" s="1" t="n">
        <v>46294</v>
      </c>
      <c r="F111" t="inlineStr">
        <is>
          <t>VÄSTRA GÖTALANDS LÄN</t>
        </is>
      </c>
      <c r="G111" t="inlineStr">
        <is>
          <t>HÄRRYDA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32866-2022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44784</v>
      </c>
      <c r="E112" s="1" t="n">
        <v>46294</v>
      </c>
      <c r="F112" t="inlineStr">
        <is>
          <t>VÄSTRA GÖTALANDS LÄN</t>
        </is>
      </c>
      <c r="G112" t="inlineStr">
        <is>
          <t>HÄRRYDA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65080-2023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45287</v>
      </c>
      <c r="E113" s="1" t="n">
        <v>46294</v>
      </c>
      <c r="F113" t="inlineStr">
        <is>
          <t>VÄSTRA GÖTALANDS LÄN</t>
        </is>
      </c>
      <c r="G113" t="inlineStr">
        <is>
          <t>HÄRRYDA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35404-2025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45855</v>
      </c>
      <c r="E114" s="1" t="n">
        <v>46294</v>
      </c>
      <c r="F114" t="inlineStr">
        <is>
          <t>VÄSTRA GÖTALANDS LÄN</t>
        </is>
      </c>
      <c r="G114" t="inlineStr">
        <is>
          <t>HÄRRYDA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59711-2022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44908</v>
      </c>
      <c r="E115" s="1" t="n">
        <v>46294</v>
      </c>
      <c r="F115" t="inlineStr">
        <is>
          <t>VÄSTRA GÖTALANDS LÄN</t>
        </is>
      </c>
      <c r="G115" t="inlineStr">
        <is>
          <t>HÄRRYDA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12090-2024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45377</v>
      </c>
      <c r="E116" s="1" t="n">
        <v>46294</v>
      </c>
      <c r="F116" t="inlineStr">
        <is>
          <t>VÄSTRA GÖTALANDS LÄN</t>
        </is>
      </c>
      <c r="G116" t="inlineStr">
        <is>
          <t>HÄRRYDA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20727-2023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45058</v>
      </c>
      <c r="E117" s="1" t="n">
        <v>46294</v>
      </c>
      <c r="F117" t="inlineStr">
        <is>
          <t>VÄSTRA GÖTALANDS LÄN</t>
        </is>
      </c>
      <c r="G117" t="inlineStr">
        <is>
          <t>HÄRRYDA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55071-2023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45237</v>
      </c>
      <c r="E118" s="1" t="n">
        <v>46294</v>
      </c>
      <c r="F118" t="inlineStr">
        <is>
          <t>VÄSTRA GÖTALANDS LÄN</t>
        </is>
      </c>
      <c r="G118" t="inlineStr">
        <is>
          <t>HÄRRYDA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52166-2023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45224</v>
      </c>
      <c r="E119" s="1" t="n">
        <v>46294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46294</v>
      </c>
      <c r="F120" t="inlineStr">
        <is>
          <t>VÄSTRA GÖTALANDS LÄN</t>
        </is>
      </c>
      <c r="G120" t="inlineStr">
        <is>
          <t>HÄRRYDA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46294</v>
      </c>
      <c r="F121" t="inlineStr">
        <is>
          <t>VÄSTRA GÖTALANDS LÄN</t>
        </is>
      </c>
      <c r="G121" t="inlineStr">
        <is>
          <t>HÄRRYDA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30869-2026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46212</v>
      </c>
      <c r="E122" s="1" t="n">
        <v>46294</v>
      </c>
      <c r="F122" t="inlineStr">
        <is>
          <t>VÄSTRA GÖTALANDS LÄN</t>
        </is>
      </c>
      <c r="G122" t="inlineStr">
        <is>
          <t>HÄRRYDA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51012-2023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45218</v>
      </c>
      <c r="E123" s="1" t="n">
        <v>46294</v>
      </c>
      <c r="F123" t="inlineStr">
        <is>
          <t>VÄSTRA GÖTALANDS LÄN</t>
        </is>
      </c>
      <c r="G123" t="inlineStr">
        <is>
          <t>HÄRRYDA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30846-2026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46212</v>
      </c>
      <c r="E124" s="1" t="n">
        <v>46294</v>
      </c>
      <c r="F124" t="inlineStr">
        <is>
          <t>VÄSTRA GÖTALANDS LÄN</t>
        </is>
      </c>
      <c r="G124" t="inlineStr">
        <is>
          <t>HÄRRYDA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64291-2023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45280</v>
      </c>
      <c r="E125" s="1" t="n">
        <v>46294</v>
      </c>
      <c r="F125" t="inlineStr">
        <is>
          <t>VÄSTRA GÖTALANDS LÄN</t>
        </is>
      </c>
      <c r="G125" t="inlineStr">
        <is>
          <t>HÄRRYDA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46294</v>
      </c>
      <c r="F126" t="inlineStr">
        <is>
          <t>VÄSTRA GÖTALANDS LÄN</t>
        </is>
      </c>
      <c r="G126" t="inlineStr">
        <is>
          <t>HÄRRYDA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46223</v>
      </c>
      <c r="E127" s="1" t="n">
        <v>46294</v>
      </c>
      <c r="F127" t="inlineStr">
        <is>
          <t>VÄSTRA GÖTALANDS LÄN</t>
        </is>
      </c>
      <c r="G127" t="inlineStr">
        <is>
          <t>HÄRRYDA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31631-2026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46225</v>
      </c>
      <c r="E128" s="1" t="n">
        <v>46294</v>
      </c>
      <c r="F128" t="inlineStr">
        <is>
          <t>VÄSTRA GÖTALANDS LÄN</t>
        </is>
      </c>
      <c r="G128" t="inlineStr">
        <is>
          <t>HÄRRYDA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31641-2026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46225</v>
      </c>
      <c r="E129" s="1" t="n">
        <v>46294</v>
      </c>
      <c r="F129" t="inlineStr">
        <is>
          <t>VÄSTRA GÖTALANDS LÄN</t>
        </is>
      </c>
      <c r="G129" t="inlineStr">
        <is>
          <t>HÄRRYDA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46798-2024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45583</v>
      </c>
      <c r="E130" s="1" t="n">
        <v>46294</v>
      </c>
      <c r="F130" t="inlineStr">
        <is>
          <t>VÄSTRA GÖTALANDS LÄN</t>
        </is>
      </c>
      <c r="G130" t="inlineStr">
        <is>
          <t>HÄRRYDA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31825-2026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46230</v>
      </c>
      <c r="E131" s="1" t="n">
        <v>46294</v>
      </c>
      <c r="F131" t="inlineStr">
        <is>
          <t>VÄSTRA GÖTALANDS LÄN</t>
        </is>
      </c>
      <c r="G131" t="inlineStr">
        <is>
          <t>HÄRRYDA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36502-2026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46269</v>
      </c>
      <c r="E132" s="1" t="n">
        <v>46294</v>
      </c>
      <c r="F132" t="inlineStr">
        <is>
          <t>VÄSTRA GÖTALANDS LÄN</t>
        </is>
      </c>
      <c r="G132" t="inlineStr">
        <is>
          <t>HÄRRYDA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32379-2026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46238</v>
      </c>
      <c r="E133" s="1" t="n">
        <v>46294</v>
      </c>
      <c r="F133" t="inlineStr">
        <is>
          <t>VÄSTRA GÖTALANDS LÄN</t>
        </is>
      </c>
      <c r="G133" t="inlineStr">
        <is>
          <t>HÄRRYDA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46238</v>
      </c>
      <c r="E134" s="1" t="n">
        <v>46294</v>
      </c>
      <c r="F134" t="inlineStr">
        <is>
          <t>VÄSTRA GÖTALANDS LÄN</t>
        </is>
      </c>
      <c r="G134" t="inlineStr">
        <is>
          <t>HÄRRYDA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A 32378-2026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46238</v>
      </c>
      <c r="E135" s="1" t="n">
        <v>46294</v>
      </c>
      <c r="F135" t="inlineStr">
        <is>
          <t>VÄSTRA GÖTALANDS LÄN</t>
        </is>
      </c>
      <c r="G135" t="inlineStr">
        <is>
          <t>HÄRRYDA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2026-09-29T02:01:48Z</dcterms:created>
  <dcterms:modified xmlns:dcterms="http://purl.org/dc/terms/" xmlns:xsi="http://www.w3.org/2001/XMLSchema-instance" xsi:type="dcterms:W3CDTF">2026-09-29T02:01:49Z</dcterms:modified>
</cp:coreProperties>
</file>