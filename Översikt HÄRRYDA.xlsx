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46279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46279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46279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46279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46279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46279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46279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46279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46279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46279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46279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46279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46279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46279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46279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46279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46279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46279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14259-2025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46279</v>
      </c>
      <c r="F20" t="inlineStr">
        <is>
          <t>VÄSTRA GÖTALANDS LÄN</t>
        </is>
      </c>
      <c r="G20" t="inlineStr">
        <is>
          <t>HÄRRYDA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HYPERLINK("https://klasma.github.io/Logging_1401/artfynd/A 14259-2025 artfynd.xlsx", "A 14259-2025")</f>
        <v/>
      </c>
      <c r="X20">
        <f>HYPERLINK("https://klasma.github.io/Logging_1401/kartor/A 14259-2025 karta.png", "A 14259-2025")</f>
        <v/>
      </c>
      <c r="Y20">
        <f>HYPERLINK("https://klasma.github.io/Logging_1401/kartor_geotiff/A 14259-2025 georefererad karta.tif", "A 14259-2025")</f>
        <v/>
      </c>
      <c r="AA20">
        <f>HYPERLINK("https://klasma.github.io/Logging_1401/klagomål/A 14259-2025 FSC-klagomål.docx", "A 14259-2025")</f>
        <v/>
      </c>
      <c r="AB20">
        <f>HYPERLINK("https://klasma.github.io/Logging_1401/klagomålsmail/A 14259-2025 FSC-klagomål mail.docx", "A 14259-2025")</f>
        <v/>
      </c>
      <c r="AC20">
        <f>HYPERLINK("https://klasma.github.io/Logging_1401/tillsyn/A 14259-2025 tillsynsbegäran.docx", "A 14259-2025")</f>
        <v/>
      </c>
      <c r="AD20">
        <f>HYPERLINK("https://klasma.github.io/Logging_1401/tillsynsmail/A 14259-2025 tillsynsbegäran mail.docx", "A 14259-2025")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46279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46279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46279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46279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46279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46279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58481-2022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46279</v>
      </c>
      <c r="F27" t="inlineStr">
        <is>
          <t>VÄSTRA GÖTALANDS LÄN</t>
        </is>
      </c>
      <c r="G27" t="inlineStr">
        <is>
          <t>HÄRRYDA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58481-2022 artfynd.xlsx", "A 58481-2022")</f>
        <v/>
      </c>
      <c r="X27">
        <f>HYPERLINK("https://klasma.github.io/Logging_1401/kartor/A 58481-2022 karta.png", "A 58481-2022")</f>
        <v/>
      </c>
      <c r="Y27">
        <f>HYPERLINK("https://klasma.github.io/Logging_1401/kartor_geotiff/A 58481-2022 georefererad karta.tif", "A 58481-2022")</f>
        <v/>
      </c>
      <c r="AA27">
        <f>HYPERLINK("https://klasma.github.io/Logging_1401/klagomål/A 58481-2022 FSC-klagomål.docx", "A 58481-2022")</f>
        <v/>
      </c>
      <c r="AB27">
        <f>HYPERLINK("https://klasma.github.io/Logging_1401/klagomålsmail/A 58481-2022 FSC-klagomål mail.docx", "A 58481-2022")</f>
        <v/>
      </c>
      <c r="AC27">
        <f>HYPERLINK("https://klasma.github.io/Logging_1401/tillsyn/A 58481-2022 tillsynsbegäran.docx", "A 58481-2022")</f>
        <v/>
      </c>
      <c r="AD27">
        <f>HYPERLINK("https://klasma.github.io/Logging_1401/tillsynsmail/A 58481-2022 tillsynsbegäran mail.docx", "A 58481-2022")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46279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27482-2025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46279</v>
      </c>
      <c r="F29" t="inlineStr">
        <is>
          <t>VÄSTRA GÖTALANDS LÄN</t>
        </is>
      </c>
      <c r="G29" t="inlineStr">
        <is>
          <t>HÄRRYDA</t>
        </is>
      </c>
      <c r="I29" t="n">
        <v>14.1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HYPERLINK("https://klasma.github.io/Logging_1401/artfynd/A 27482-2025 artfynd.xlsx", "A 27482-2025")</f>
        <v/>
      </c>
      <c r="X29">
        <f>HYPERLINK("https://klasma.github.io/Logging_1401/kartor/A 27482-2025 karta.png", "A 27482-2025")</f>
        <v/>
      </c>
      <c r="Y29">
        <f>HYPERLINK("https://klasma.github.io/Logging_1401/kartor_geotiff/A 27482-2025 georefererad karta.tif", "A 27482-2025")</f>
        <v/>
      </c>
      <c r="AA29">
        <f>HYPERLINK("https://klasma.github.io/Logging_1401/klagomål/A 27482-2025 FSC-klagomål.docx", "A 27482-2025")</f>
        <v/>
      </c>
      <c r="AB29">
        <f>HYPERLINK("https://klasma.github.io/Logging_1401/klagomålsmail/A 27482-2025 FSC-klagomål mail.docx", "A 27482-2025")</f>
        <v/>
      </c>
      <c r="AC29">
        <f>HYPERLINK("https://klasma.github.io/Logging_1401/tillsyn/A 27482-2025 tillsynsbegäran.docx", "A 27482-2025")</f>
        <v/>
      </c>
      <c r="AD29">
        <f>HYPERLINK("https://klasma.github.io/Logging_1401/tillsynsmail/A 27482-2025 tillsynsbegäran mail.docx", "A 27482-2025")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46279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46279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46279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46279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46279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46279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46279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46279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46279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46279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46279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46279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46279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46279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46279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46279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46279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46279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46279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46279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46279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40273-2025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46279</v>
      </c>
      <c r="F51" t="inlineStr">
        <is>
          <t>VÄSTRA GÖTALANDS LÄN</t>
        </is>
      </c>
      <c r="G51" t="inlineStr">
        <is>
          <t>HÄRRYDA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40306-2025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46279</v>
      </c>
      <c r="F52" t="inlineStr">
        <is>
          <t>VÄSTRA GÖTALANDS LÄN</t>
        </is>
      </c>
      <c r="G52" t="inlineStr">
        <is>
          <t>HÄRRYDA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46279</v>
      </c>
      <c r="F53" t="inlineStr">
        <is>
          <t>VÄSTRA GÖTALANDS LÄN</t>
        </is>
      </c>
      <c r="G53" t="inlineStr">
        <is>
          <t>HÄRRYDA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46279</v>
      </c>
      <c r="F54" t="inlineStr">
        <is>
          <t>VÄSTRA GÖTALANDS LÄN</t>
        </is>
      </c>
      <c r="G54" t="inlineStr">
        <is>
          <t>HÄRRYDA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44960</v>
      </c>
      <c r="E55" s="1" t="n">
        <v>46279</v>
      </c>
      <c r="F55" t="inlineStr">
        <is>
          <t>VÄSTRA GÖTALANDS LÄN</t>
        </is>
      </c>
      <c r="G55" t="inlineStr">
        <is>
          <t>HÄRRYDA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46279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46279</v>
      </c>
      <c r="F57" t="inlineStr">
        <is>
          <t>VÄSTRA GÖTALANDS LÄN</t>
        </is>
      </c>
      <c r="G57" t="inlineStr">
        <is>
          <t>HÄRRYDA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44732</v>
      </c>
      <c r="E58" s="1" t="n">
        <v>46279</v>
      </c>
      <c r="F58" t="inlineStr">
        <is>
          <t>VÄSTRA GÖTALANDS LÄN</t>
        </is>
      </c>
      <c r="G58" t="inlineStr">
        <is>
          <t>HÄRRYDA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45925</v>
      </c>
      <c r="E59" s="1" t="n">
        <v>46279</v>
      </c>
      <c r="F59" t="inlineStr">
        <is>
          <t>VÄSTRA GÖTALANDS LÄN</t>
        </is>
      </c>
      <c r="G59" t="inlineStr">
        <is>
          <t>HÄRRYDA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46279</v>
      </c>
      <c r="F60" t="inlineStr">
        <is>
          <t>VÄSTRA GÖTALANDS LÄN</t>
        </is>
      </c>
      <c r="G60" t="inlineStr">
        <is>
          <t>HÄRRYDA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46279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46279</v>
      </c>
      <c r="F62" t="inlineStr">
        <is>
          <t>VÄSTRA GÖTALANDS LÄN</t>
        </is>
      </c>
      <c r="G62" t="inlineStr">
        <is>
          <t>HÄRRYDA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46279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46279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46279</v>
      </c>
      <c r="F65" t="inlineStr">
        <is>
          <t>VÄSTRA GÖTALANDS LÄN</t>
        </is>
      </c>
      <c r="G65" t="inlineStr">
        <is>
          <t>HÄRRYDA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46279</v>
      </c>
      <c r="F66" t="inlineStr">
        <is>
          <t>VÄSTRA GÖTALANDS LÄN</t>
        </is>
      </c>
      <c r="G66" t="inlineStr">
        <is>
          <t>HÄRRYDA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46279</v>
      </c>
      <c r="F67" t="inlineStr">
        <is>
          <t>VÄSTRA GÖTALANDS LÄN</t>
        </is>
      </c>
      <c r="G67" t="inlineStr">
        <is>
          <t>HÄRRYDA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46279</v>
      </c>
      <c r="F68" t="inlineStr">
        <is>
          <t>VÄSTRA GÖTALANDS LÄN</t>
        </is>
      </c>
      <c r="G68" t="inlineStr">
        <is>
          <t>HÄRRYDA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46279</v>
      </c>
      <c r="F69" t="inlineStr">
        <is>
          <t>VÄSTRA GÖTALANDS LÄN</t>
        </is>
      </c>
      <c r="G69" t="inlineStr">
        <is>
          <t>HÄRRYDA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46279</v>
      </c>
      <c r="F70" t="inlineStr">
        <is>
          <t>VÄSTRA GÖTALANDS LÄN</t>
        </is>
      </c>
      <c r="G70" t="inlineStr">
        <is>
          <t>HÄRRYDA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46279</v>
      </c>
      <c r="F71" t="inlineStr">
        <is>
          <t>VÄSTRA GÖTALANDS LÄN</t>
        </is>
      </c>
      <c r="G71" t="inlineStr">
        <is>
          <t>HÄRRYDA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46279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46107</v>
      </c>
      <c r="E73" s="1" t="n">
        <v>46279</v>
      </c>
      <c r="F73" t="inlineStr">
        <is>
          <t>VÄSTRA GÖTALANDS LÄN</t>
        </is>
      </c>
      <c r="G73" t="inlineStr">
        <is>
          <t>HÄRRYDA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15401-2026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46106</v>
      </c>
      <c r="E74" s="1" t="n">
        <v>46279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46279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46279</v>
      </c>
      <c r="F76" t="inlineStr">
        <is>
          <t>VÄSTRA GÖTALANDS LÄN</t>
        </is>
      </c>
      <c r="G76" t="inlineStr">
        <is>
          <t>HÄRRYDA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46279</v>
      </c>
      <c r="F77" t="inlineStr">
        <is>
          <t>VÄSTRA GÖTALANDS LÄN</t>
        </is>
      </c>
      <c r="G77" t="inlineStr">
        <is>
          <t>HÄRRYDA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45994</v>
      </c>
      <c r="E78" s="1" t="n">
        <v>46279</v>
      </c>
      <c r="F78" t="inlineStr">
        <is>
          <t>VÄSTRA GÖTALANDS LÄN</t>
        </is>
      </c>
      <c r="G78" t="inlineStr">
        <is>
          <t>HÄRRYDA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46279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46279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46279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46279</v>
      </c>
      <c r="F82" t="inlineStr">
        <is>
          <t>VÄSTRA GÖTALANDS LÄN</t>
        </is>
      </c>
      <c r="G82" t="inlineStr">
        <is>
          <t>HÄRRYDA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45747</v>
      </c>
      <c r="E83" s="1" t="n">
        <v>46279</v>
      </c>
      <c r="F83" t="inlineStr">
        <is>
          <t>VÄSTRA GÖTALANDS LÄN</t>
        </is>
      </c>
      <c r="G83" t="inlineStr">
        <is>
          <t>HÄRRYDA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46279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69563-2021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46279</v>
      </c>
      <c r="F85" t="inlineStr">
        <is>
          <t>VÄSTRA GÖTALANDS LÄN</t>
        </is>
      </c>
      <c r="G85" t="inlineStr">
        <is>
          <t>HÄRRYDA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46279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72891-2021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46279</v>
      </c>
      <c r="F87" t="inlineStr">
        <is>
          <t>VÄSTRA GÖTALANDS LÄN</t>
        </is>
      </c>
      <c r="G87" t="inlineStr">
        <is>
          <t>HÄRRYDA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46279</v>
      </c>
      <c r="F88" t="inlineStr">
        <is>
          <t>VÄSTRA GÖTALANDS LÄN</t>
        </is>
      </c>
      <c r="G88" t="inlineStr">
        <is>
          <t>HÄRRYDA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45377</v>
      </c>
      <c r="E89" s="1" t="n">
        <v>46279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46279</v>
      </c>
      <c r="F90" t="inlineStr">
        <is>
          <t>VÄSTRA GÖTALANDS LÄN</t>
        </is>
      </c>
      <c r="G90" t="inlineStr">
        <is>
          <t>HÄRRYDA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46279</v>
      </c>
      <c r="F91" t="inlineStr">
        <is>
          <t>VÄSTRA GÖTALANDS LÄN</t>
        </is>
      </c>
      <c r="G91" t="inlineStr">
        <is>
          <t>HÄRRYDA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46279</v>
      </c>
      <c r="F92" t="inlineStr">
        <is>
          <t>VÄSTRA GÖTALANDS LÄN</t>
        </is>
      </c>
      <c r="G92" t="inlineStr">
        <is>
          <t>HÄRRYDA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44721</v>
      </c>
      <c r="E93" s="1" t="n">
        <v>46279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46279</v>
      </c>
      <c r="F94" t="inlineStr">
        <is>
          <t>VÄSTRA GÖTALANDS LÄN</t>
        </is>
      </c>
      <c r="G94" t="inlineStr">
        <is>
          <t>HÄRRYDA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46279</v>
      </c>
      <c r="F95" t="inlineStr">
        <is>
          <t>VÄSTRA GÖTALANDS LÄN</t>
        </is>
      </c>
      <c r="G95" t="inlineStr">
        <is>
          <t>HÄRRYDA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46279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46279</v>
      </c>
      <c r="F97" t="inlineStr">
        <is>
          <t>VÄSTRA GÖTALANDS LÄN</t>
        </is>
      </c>
      <c r="G97" t="inlineStr">
        <is>
          <t>HÄRRYDA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65080-2023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45287</v>
      </c>
      <c r="E98" s="1" t="n">
        <v>46279</v>
      </c>
      <c r="F98" t="inlineStr">
        <is>
          <t>VÄSTRA GÖTALANDS LÄN</t>
        </is>
      </c>
      <c r="G98" t="inlineStr">
        <is>
          <t>HÄRRYDA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46279</v>
      </c>
      <c r="F99" t="inlineStr">
        <is>
          <t>VÄSTRA GÖTALANDS LÄN</t>
        </is>
      </c>
      <c r="G99" t="inlineStr">
        <is>
          <t>HÄRRYDA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46279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46279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46279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32378-2026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46238</v>
      </c>
      <c r="E103" s="1" t="n">
        <v>46279</v>
      </c>
      <c r="F103" t="inlineStr">
        <is>
          <t>VÄSTRA GÖTALANDS LÄN</t>
        </is>
      </c>
      <c r="G103" t="inlineStr">
        <is>
          <t>HÄRRYDA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46238</v>
      </c>
      <c r="E104" s="1" t="n">
        <v>46279</v>
      </c>
      <c r="F104" t="inlineStr">
        <is>
          <t>VÄSTRA GÖTALANDS LÄN</t>
        </is>
      </c>
      <c r="G104" t="inlineStr">
        <is>
          <t>HÄRRYDA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45651</v>
      </c>
      <c r="E105" s="1" t="n">
        <v>46279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46238</v>
      </c>
      <c r="E106" s="1" t="n">
        <v>46279</v>
      </c>
      <c r="F106" t="inlineStr">
        <is>
          <t>VÄSTRA GÖTALANDS LÄN</t>
        </is>
      </c>
      <c r="G106" t="inlineStr">
        <is>
          <t>HÄRRYDA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44732</v>
      </c>
      <c r="E107" s="1" t="n">
        <v>46279</v>
      </c>
      <c r="F107" t="inlineStr">
        <is>
          <t>VÄSTRA GÖTALANDS LÄN</t>
        </is>
      </c>
      <c r="G107" t="inlineStr">
        <is>
          <t>HÄRRYDA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46279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46279</v>
      </c>
      <c r="F109" t="inlineStr">
        <is>
          <t>VÄSTRA GÖTALANDS LÄN</t>
        </is>
      </c>
      <c r="G109" t="inlineStr">
        <is>
          <t>HÄRRYDA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46279</v>
      </c>
      <c r="F110" t="inlineStr">
        <is>
          <t>VÄSTRA GÖTALANDS LÄN</t>
        </is>
      </c>
      <c r="G110" t="inlineStr">
        <is>
          <t>HÄRRYDA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45280</v>
      </c>
      <c r="E111" s="1" t="n">
        <v>46279</v>
      </c>
      <c r="F111" t="inlineStr">
        <is>
          <t>VÄSTRA GÖTALANDS LÄN</t>
        </is>
      </c>
      <c r="G111" t="inlineStr">
        <is>
          <t>HÄRRYDA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46279</v>
      </c>
      <c r="F112" t="inlineStr">
        <is>
          <t>VÄSTRA GÖTALANDS LÄN</t>
        </is>
      </c>
      <c r="G112" t="inlineStr">
        <is>
          <t>HÄRRYDA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46279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46279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46279</v>
      </c>
      <c r="F115" t="inlineStr">
        <is>
          <t>VÄSTRA GÖTALANDS LÄN</t>
        </is>
      </c>
      <c r="G115" t="inlineStr">
        <is>
          <t>HÄRRYDA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46279</v>
      </c>
      <c r="F116" t="inlineStr">
        <is>
          <t>VÄSTRA GÖTALANDS LÄN</t>
        </is>
      </c>
      <c r="G116" t="inlineStr">
        <is>
          <t>HÄRRYDA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46279</v>
      </c>
      <c r="F117" t="inlineStr">
        <is>
          <t>VÄSTRA GÖTALANDS LÄN</t>
        </is>
      </c>
      <c r="G117" t="inlineStr">
        <is>
          <t>HÄRRYDA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44911</v>
      </c>
      <c r="E118" s="1" t="n">
        <v>46279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45002</v>
      </c>
      <c r="E119" s="1" t="n">
        <v>46279</v>
      </c>
      <c r="F119" t="inlineStr">
        <is>
          <t>VÄSTRA GÖTALANDS LÄN</t>
        </is>
      </c>
      <c r="G119" t="inlineStr">
        <is>
          <t>HÄRRYDA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46279</v>
      </c>
      <c r="F120" t="inlineStr">
        <is>
          <t>VÄSTRA GÖTALANDS LÄN</t>
        </is>
      </c>
      <c r="G120" t="inlineStr">
        <is>
          <t>HÄRRYDA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46223</v>
      </c>
      <c r="E121" s="1" t="n">
        <v>46279</v>
      </c>
      <c r="F121" t="inlineStr">
        <is>
          <t>VÄSTRA GÖTALANDS LÄN</t>
        </is>
      </c>
      <c r="G121" t="inlineStr">
        <is>
          <t>HÄRRYDA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46279</v>
      </c>
      <c r="F122" t="inlineStr">
        <is>
          <t>VÄSTRA GÖTALANDS LÄN</t>
        </is>
      </c>
      <c r="G122" t="inlineStr">
        <is>
          <t>HÄRRYDA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46225</v>
      </c>
      <c r="E123" s="1" t="n">
        <v>46279</v>
      </c>
      <c r="F123" t="inlineStr">
        <is>
          <t>VÄSTRA GÖTALANDS LÄN</t>
        </is>
      </c>
      <c r="G123" t="inlineStr">
        <is>
          <t>HÄRRYDA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31641-2026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46225</v>
      </c>
      <c r="E124" s="1" t="n">
        <v>46279</v>
      </c>
      <c r="F124" t="inlineStr">
        <is>
          <t>VÄSTRA GÖTALANDS LÄN</t>
        </is>
      </c>
      <c r="G124" t="inlineStr">
        <is>
          <t>HÄRRYDA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55071-2023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45237</v>
      </c>
      <c r="E125" s="1" t="n">
        <v>46279</v>
      </c>
      <c r="F125" t="inlineStr">
        <is>
          <t>VÄSTRA GÖTALANDS LÄN</t>
        </is>
      </c>
      <c r="G125" t="inlineStr">
        <is>
          <t>HÄRRYDA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46279</v>
      </c>
      <c r="F126" t="inlineStr">
        <is>
          <t>VÄSTRA GÖTALANDS LÄN</t>
        </is>
      </c>
      <c r="G126" t="inlineStr">
        <is>
          <t>HÄRRYDA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46279</v>
      </c>
      <c r="F127" t="inlineStr">
        <is>
          <t>VÄSTRA GÖTALANDS LÄN</t>
        </is>
      </c>
      <c r="G127" t="inlineStr">
        <is>
          <t>HÄRRYDA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46230</v>
      </c>
      <c r="E128" s="1" t="n">
        <v>46279</v>
      </c>
      <c r="F128" t="inlineStr">
        <is>
          <t>VÄSTRA GÖTALANDS LÄN</t>
        </is>
      </c>
      <c r="G128" t="inlineStr">
        <is>
          <t>HÄRRYDA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46279</v>
      </c>
      <c r="F129" t="inlineStr">
        <is>
          <t>VÄSTRA GÖTALANDS LÄN</t>
        </is>
      </c>
      <c r="G129" t="inlineStr">
        <is>
          <t>HÄRRYDA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46279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46279</v>
      </c>
      <c r="F131" t="inlineStr">
        <is>
          <t>VÄSTRA GÖTALANDS LÄN</t>
        </is>
      </c>
      <c r="G131" t="inlineStr">
        <is>
          <t>HÄRRYDA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46279</v>
      </c>
      <c r="F132" t="inlineStr">
        <is>
          <t>VÄSTRA GÖTALANDS LÄN</t>
        </is>
      </c>
      <c r="G132" t="inlineStr">
        <is>
          <t>HÄRRYDA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46279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45373</v>
      </c>
      <c r="E134" s="1" t="n">
        <v>46279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56558-2024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46279</v>
      </c>
      <c r="F135" t="inlineStr">
        <is>
          <t>VÄSTRA GÖTALANDS LÄN</t>
        </is>
      </c>
      <c r="G135" t="inlineStr">
        <is>
          <t>HÄRRYDA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2026-09-14T02:13:56Z</dcterms:created>
  <dcterms:modified xmlns:dcterms="http://purl.org/dc/terms/" xmlns:xsi="http://www.w3.org/2001/XMLSchema-instance" xsi:type="dcterms:W3CDTF">2026-09-14T02:13:56Z</dcterms:modified>
</cp:coreProperties>
</file>