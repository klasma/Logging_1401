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46199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46199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s="1" t="n">
        <v>45567</v>
      </c>
      <c r="C4" s="1" t="n">
        <v>46199</v>
      </c>
      <c r="D4" t="inlineStr">
        <is>
          <t>VÄSTRA GÖTALANDS LÄN</t>
        </is>
      </c>
      <c r="E4" t="inlineStr">
        <is>
          <t>HÄRRYDA</t>
        </is>
      </c>
      <c r="G4" t="n">
        <v>5.3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Havstulpanlav
Rostfläck
Stor revmossa
Revlummer</t>
        </is>
      </c>
      <c r="S4">
        <f>HYPERLINK("https://klasma.github.io/Logging_1401/artfynd/A 43202-2024 artfynd.xlsx", "A 43202-2024")</f>
        <v/>
      </c>
      <c r="T4">
        <f>HYPERLINK("https://klasma.github.io/Logging_1401/kartor/A 43202-2024 karta.png", "A 43202-2024")</f>
        <v/>
      </c>
      <c r="V4">
        <f>HYPERLINK("https://klasma.github.io/Logging_1401/klagomål/A 43202-2024 FSC-klagomål.docx", "A 43202-2024")</f>
        <v/>
      </c>
      <c r="W4">
        <f>HYPERLINK("https://klasma.github.io/Logging_1401/klagomålsmail/A 43202-2024 FSC-klagomål mail.docx", "A 43202-2024")</f>
        <v/>
      </c>
      <c r="X4">
        <f>HYPERLINK("https://klasma.github.io/Logging_1401/tillsyn/A 43202-2024 tillsynsbegäran.docx", "A 43202-2024")</f>
        <v/>
      </c>
      <c r="Y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46199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Blåmossa
Kornknutmossa
Spillkråka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46199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46199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46199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</v>
      </c>
      <c r="C9" s="1" t="n">
        <v>46199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Nötkråka
Kungsfågel
Vanlig groda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s="1" t="n">
        <v>45155</v>
      </c>
      <c r="C10" s="1" t="n">
        <v>46199</v>
      </c>
      <c r="D10" t="inlineStr">
        <is>
          <t>VÄSTRA GÖTALANDS LÄN</t>
        </is>
      </c>
      <c r="E10" t="inlineStr">
        <is>
          <t>HÄRRYDA</t>
        </is>
      </c>
      <c r="G10" t="n">
        <v>1.2</v>
      </c>
      <c r="H10" t="n">
        <v>1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Sexfläckig bastardsvärmare
Slåttergubbe
Mindre vattensalamander</t>
        </is>
      </c>
      <c r="S10">
        <f>HYPERLINK("https://klasma.github.io/Logging_1401/artfynd/A 37201-2023 artfynd.xlsx", "A 37201-2023")</f>
        <v/>
      </c>
      <c r="T10">
        <f>HYPERLINK("https://klasma.github.io/Logging_1401/kartor/A 37201-2023 karta.png", "A 37201-2023")</f>
        <v/>
      </c>
      <c r="V10">
        <f>HYPERLINK("https://klasma.github.io/Logging_1401/klagomål/A 37201-2023 FSC-klagomål.docx", "A 37201-2023")</f>
        <v/>
      </c>
      <c r="W10">
        <f>HYPERLINK("https://klasma.github.io/Logging_1401/klagomålsmail/A 37201-2023 FSC-klagomål mail.docx", "A 37201-2023")</f>
        <v/>
      </c>
      <c r="X10">
        <f>HYPERLINK("https://klasma.github.io/Logging_1401/tillsyn/A 37201-2023 tillsynsbegäran.docx", "A 37201-2023")</f>
        <v/>
      </c>
      <c r="Y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s="1" t="n">
        <v>46105</v>
      </c>
      <c r="C11" s="1" t="n">
        <v>46199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Kornknutmossa
Smal svampklubba
Stor revmossa</t>
        </is>
      </c>
      <c r="S11">
        <f>HYPERLINK("https://klasma.github.io/Logging_1401/artfynd/A 15249-2026 artfynd.xlsx", "A 15249-2026")</f>
        <v/>
      </c>
      <c r="T11">
        <f>HYPERLINK("https://klasma.github.io/Logging_1401/kartor/A 15249-2026 karta.png", "A 15249-2026")</f>
        <v/>
      </c>
      <c r="V11">
        <f>HYPERLINK("https://klasma.github.io/Logging_1401/klagomål/A 15249-2026 FSC-klagomål.docx", "A 15249-2026")</f>
        <v/>
      </c>
      <c r="W11">
        <f>HYPERLINK("https://klasma.github.io/Logging_1401/klagomålsmail/A 15249-2026 FSC-klagomål mail.docx", "A 15249-2026")</f>
        <v/>
      </c>
      <c r="X11">
        <f>HYPERLINK("https://klasma.github.io/Logging_1401/tillsyn/A 15249-2026 tillsynsbegäran.docx", "A 15249-2026")</f>
        <v/>
      </c>
      <c r="Y11">
        <f>HYPERLINK("https://klasma.github.io/Logging_1401/tillsynsmail/A 15249-2026 tillsynsbegäran mail.docx", "A 15249-2026")</f>
        <v/>
      </c>
    </row>
    <row r="12" ht="15" customHeight="1">
      <c r="A12" t="inlineStr">
        <is>
          <t>A 9491-2025</t>
        </is>
      </c>
      <c r="B12" s="1" t="n">
        <v>45715</v>
      </c>
      <c r="C12" s="1" t="n">
        <v>46199</v>
      </c>
      <c r="D12" t="inlineStr">
        <is>
          <t>VÄSTRA GÖTALANDS LÄN</t>
        </is>
      </c>
      <c r="E12" t="inlineStr">
        <is>
          <t>HÄRRYDA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Revlummer</t>
        </is>
      </c>
      <c r="S12">
        <f>HYPERLINK("https://klasma.github.io/Logging_1401/artfynd/A 9491-2025 artfynd.xlsx", "A 9491-2025")</f>
        <v/>
      </c>
      <c r="T12">
        <f>HYPERLINK("https://klasma.github.io/Logging_1401/kartor/A 9491-2025 karta.png", "A 9491-2025")</f>
        <v/>
      </c>
      <c r="V12">
        <f>HYPERLINK("https://klasma.github.io/Logging_1401/klagomål/A 9491-2025 FSC-klagomål.docx", "A 9491-2025")</f>
        <v/>
      </c>
      <c r="W12">
        <f>HYPERLINK("https://klasma.github.io/Logging_1401/klagomålsmail/A 9491-2025 FSC-klagomål mail.docx", "A 9491-2025")</f>
        <v/>
      </c>
      <c r="X12">
        <f>HYPERLINK("https://klasma.github.io/Logging_1401/tillsyn/A 9491-2025 tillsynsbegäran.docx", "A 9491-2025")</f>
        <v/>
      </c>
      <c r="Y12">
        <f>HYPERLINK("https://klasma.github.io/Logging_1401/tillsynsmail/A 9491-2025 tillsynsbegäran mail.docx", "A 9491-2025")</f>
        <v/>
      </c>
    </row>
    <row r="13" ht="15" customHeight="1">
      <c r="A13" t="inlineStr">
        <is>
          <t>A 55274-2025</t>
        </is>
      </c>
      <c r="B13" s="1" t="n">
        <v>45968</v>
      </c>
      <c r="C13" s="1" t="n">
        <v>46199</v>
      </c>
      <c r="D13" t="inlineStr">
        <is>
          <t>VÄSTRA GÖTALANDS LÄN</t>
        </is>
      </c>
      <c r="E13" t="inlineStr">
        <is>
          <t>HÄRRYDA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Trådticka</t>
        </is>
      </c>
      <c r="S13">
        <f>HYPERLINK("https://klasma.github.io/Logging_1401/artfynd/A 55274-2025 artfynd.xlsx", "A 55274-2025")</f>
        <v/>
      </c>
      <c r="T13">
        <f>HYPERLINK("https://klasma.github.io/Logging_1401/kartor/A 55274-2025 karta.png", "A 55274-2025")</f>
        <v/>
      </c>
      <c r="V13">
        <f>HYPERLINK("https://klasma.github.io/Logging_1401/klagomål/A 55274-2025 FSC-klagomål.docx", "A 55274-2025")</f>
        <v/>
      </c>
      <c r="W13">
        <f>HYPERLINK("https://klasma.github.io/Logging_1401/klagomålsmail/A 55274-2025 FSC-klagomål mail.docx", "A 55274-2025")</f>
        <v/>
      </c>
      <c r="X13">
        <f>HYPERLINK("https://klasma.github.io/Logging_1401/tillsyn/A 55274-2025 tillsynsbegäran.docx", "A 55274-2025")</f>
        <v/>
      </c>
      <c r="Y13">
        <f>HYPERLINK("https://klasma.github.io/Logging_1401/tillsynsmail/A 55274-2025 tillsynsbegäran mail.docx", "A 55274-2025")</f>
        <v/>
      </c>
    </row>
    <row r="14" ht="15" customHeight="1">
      <c r="A14" t="inlineStr">
        <is>
          <t>A 63592-2021</t>
        </is>
      </c>
      <c r="B14" s="1" t="n">
        <v>44508</v>
      </c>
      <c r="C14" s="1" t="n">
        <v>46199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Vanlig padda</t>
        </is>
      </c>
      <c r="S14">
        <f>HYPERLINK("https://klasma.github.io/Logging_1401/artfynd/A 63592-2021 artfynd.xlsx", "A 63592-2021")</f>
        <v/>
      </c>
      <c r="T14">
        <f>HYPERLINK("https://klasma.github.io/Logging_1401/kartor/A 63592-2021 karta.png", "A 63592-2021")</f>
        <v/>
      </c>
      <c r="V14">
        <f>HYPERLINK("https://klasma.github.io/Logging_1401/klagomål/A 63592-2021 FSC-klagomål.docx", "A 63592-2021")</f>
        <v/>
      </c>
      <c r="W14">
        <f>HYPERLINK("https://klasma.github.io/Logging_1401/klagomålsmail/A 63592-2021 FSC-klagomål mail.docx", "A 63592-2021")</f>
        <v/>
      </c>
      <c r="X14">
        <f>HYPERLINK("https://klasma.github.io/Logging_1401/tillsyn/A 63592-2021 tillsynsbegäran.docx", "A 63592-2021")</f>
        <v/>
      </c>
      <c r="Y14">
        <f>HYPERLINK("https://klasma.github.io/Logging_1401/tillsynsmail/A 63592-2021 tillsynsbegäran mail.docx", "A 63592-2021")</f>
        <v/>
      </c>
    </row>
    <row r="15" ht="15" customHeight="1">
      <c r="A15" t="inlineStr">
        <is>
          <t>A 27676-2026</t>
        </is>
      </c>
      <c r="B15" s="1" t="n">
        <v>46190</v>
      </c>
      <c r="C15" s="1" t="n">
        <v>46199</v>
      </c>
      <c r="D15" t="inlineStr">
        <is>
          <t>VÄSTRA GÖTALANDS LÄN</t>
        </is>
      </c>
      <c r="E15" t="inlineStr">
        <is>
          <t>HÄRRYDA</t>
        </is>
      </c>
      <c r="G15" t="n">
        <v>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Revlummer</t>
        </is>
      </c>
      <c r="S15">
        <f>HYPERLINK("https://klasma.github.io/Logging_1401/artfynd/A 27676-2026 artfynd.xlsx", "A 27676-2026")</f>
        <v/>
      </c>
      <c r="T15">
        <f>HYPERLINK("https://klasma.github.io/Logging_1401/kartor/A 27676-2026 karta.png", "A 27676-2026")</f>
        <v/>
      </c>
      <c r="V15">
        <f>HYPERLINK("https://klasma.github.io/Logging_1401/klagomål/A 27676-2026 FSC-klagomål.docx", "A 27676-2026")</f>
        <v/>
      </c>
      <c r="W15">
        <f>HYPERLINK("https://klasma.github.io/Logging_1401/klagomålsmail/A 27676-2026 FSC-klagomål mail.docx", "A 27676-2026")</f>
        <v/>
      </c>
      <c r="X15">
        <f>HYPERLINK("https://klasma.github.io/Logging_1401/tillsyn/A 27676-2026 tillsynsbegäran.docx", "A 27676-2026")</f>
        <v/>
      </c>
      <c r="Y15">
        <f>HYPERLINK("https://klasma.github.io/Logging_1401/tillsynsmail/A 27676-2026 tillsynsbegäran mail.docx", "A 27676-2026")</f>
        <v/>
      </c>
    </row>
    <row r="16" ht="15" customHeight="1">
      <c r="A16" t="inlineStr">
        <is>
          <t>A 34938-2022</t>
        </is>
      </c>
      <c r="B16" s="1" t="n">
        <v>44796</v>
      </c>
      <c r="C16" s="1" t="n">
        <v>46199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Igelkott
Revlummer</t>
        </is>
      </c>
      <c r="S16">
        <f>HYPERLINK("https://klasma.github.io/Logging_1401/artfynd/A 34938-2022 artfynd.xlsx", "A 34938-2022")</f>
        <v/>
      </c>
      <c r="T16">
        <f>HYPERLINK("https://klasma.github.io/Logging_1401/kartor/A 34938-2022 karta.png", "A 34938-2022")</f>
        <v/>
      </c>
      <c r="V16">
        <f>HYPERLINK("https://klasma.github.io/Logging_1401/klagomål/A 34938-2022 FSC-klagomål.docx", "A 34938-2022")</f>
        <v/>
      </c>
      <c r="W16">
        <f>HYPERLINK("https://klasma.github.io/Logging_1401/klagomålsmail/A 34938-2022 FSC-klagomål mail.docx", "A 34938-2022")</f>
        <v/>
      </c>
      <c r="X16">
        <f>HYPERLINK("https://klasma.github.io/Logging_1401/tillsyn/A 34938-2022 tillsynsbegäran.docx", "A 34938-2022")</f>
        <v/>
      </c>
      <c r="Y16">
        <f>HYPERLINK("https://klasma.github.io/Logging_1401/tillsynsmail/A 34938-2022 tillsynsbegäran mail.docx", "A 34938-2022")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46199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</row>
    <row r="18" ht="15" customHeight="1">
      <c r="A18" t="inlineStr">
        <is>
          <t>A 55686-2023</t>
        </is>
      </c>
      <c r="B18" s="1" t="n">
        <v>45239</v>
      </c>
      <c r="C18" s="1" t="n">
        <v>46199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27482-2025</t>
        </is>
      </c>
      <c r="B19" s="1" t="n">
        <v>45813</v>
      </c>
      <c r="C19" s="1" t="n">
        <v>46199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</v>
      </c>
      <c r="C20" s="1" t="n">
        <v>46199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47362-2024</t>
        </is>
      </c>
      <c r="B21" s="1" t="n">
        <v>45587</v>
      </c>
      <c r="C21" s="1" t="n">
        <v>46199</v>
      </c>
      <c r="D21" t="inlineStr">
        <is>
          <t>VÄSTRA GÖTALANDS LÄN</t>
        </is>
      </c>
      <c r="E21" t="inlineStr">
        <is>
          <t>HÄRRYDA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47362-2024 artfynd.xlsx", "A 47362-2024")</f>
        <v/>
      </c>
      <c r="T21">
        <f>HYPERLINK("https://klasma.github.io/Logging_1401/kartor/A 47362-2024 karta.png", "A 47362-2024")</f>
        <v/>
      </c>
      <c r="V21">
        <f>HYPERLINK("https://klasma.github.io/Logging_1401/klagomål/A 47362-2024 FSC-klagomål.docx", "A 47362-2024")</f>
        <v/>
      </c>
      <c r="W21">
        <f>HYPERLINK("https://klasma.github.io/Logging_1401/klagomålsmail/A 47362-2024 FSC-klagomål mail.docx", "A 47362-2024")</f>
        <v/>
      </c>
      <c r="X21">
        <f>HYPERLINK("https://klasma.github.io/Logging_1401/tillsyn/A 47362-2024 tillsynsbegäran.docx", "A 47362-2024")</f>
        <v/>
      </c>
      <c r="Y21">
        <f>HYPERLINK("https://klasma.github.io/Logging_1401/tillsynsmail/A 47362-2024 tillsynsbegäran mail.docx", "A 47362-2024")</f>
        <v/>
      </c>
    </row>
    <row r="22" ht="15" customHeight="1">
      <c r="A22" t="inlineStr">
        <is>
          <t>A 23492-2026</t>
        </is>
      </c>
      <c r="B22" s="1" t="n">
        <v>46163</v>
      </c>
      <c r="C22" s="1" t="n">
        <v>46199</v>
      </c>
      <c r="D22" t="inlineStr">
        <is>
          <t>VÄSTRA GÖTALANDS LÄN</t>
        </is>
      </c>
      <c r="E22" t="inlineStr">
        <is>
          <t>HÄRRYDA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23492-2026 artfynd.xlsx", "A 23492-2026")</f>
        <v/>
      </c>
      <c r="T22">
        <f>HYPERLINK("https://klasma.github.io/Logging_1401/kartor/A 23492-2026 karta.png", "A 23492-2026")</f>
        <v/>
      </c>
      <c r="V22">
        <f>HYPERLINK("https://klasma.github.io/Logging_1401/klagomål/A 23492-2026 FSC-klagomål.docx", "A 23492-2026")</f>
        <v/>
      </c>
      <c r="W22">
        <f>HYPERLINK("https://klasma.github.io/Logging_1401/klagomålsmail/A 23492-2026 FSC-klagomål mail.docx", "A 23492-2026")</f>
        <v/>
      </c>
      <c r="X22">
        <f>HYPERLINK("https://klasma.github.io/Logging_1401/tillsyn/A 23492-2026 tillsynsbegäran.docx", "A 23492-2026")</f>
        <v/>
      </c>
      <c r="Y22">
        <f>HYPERLINK("https://klasma.github.io/Logging_1401/tillsynsmail/A 23492-2026 tillsynsbegäran mail.docx", "A 23492-2026")</f>
        <v/>
      </c>
    </row>
    <row r="23" ht="15" customHeight="1">
      <c r="A23" t="inlineStr">
        <is>
          <t>A 41457-2023</t>
        </is>
      </c>
      <c r="B23" s="1" t="n">
        <v>45175</v>
      </c>
      <c r="C23" s="1" t="n">
        <v>46199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Almkrämskinn</t>
        </is>
      </c>
      <c r="S23">
        <f>HYPERLINK("https://klasma.github.io/Logging_1401/artfynd/A 41457-2023 artfynd.xlsx", "A 41457-2023")</f>
        <v/>
      </c>
      <c r="T23">
        <f>HYPERLINK("https://klasma.github.io/Logging_1401/kartor/A 41457-2023 karta.png", "A 41457-2023")</f>
        <v/>
      </c>
      <c r="V23">
        <f>HYPERLINK("https://klasma.github.io/Logging_1401/klagomål/A 41457-2023 FSC-klagomål.docx", "A 41457-2023")</f>
        <v/>
      </c>
      <c r="W23">
        <f>HYPERLINK("https://klasma.github.io/Logging_1401/klagomålsmail/A 41457-2023 FSC-klagomål mail.docx", "A 41457-2023")</f>
        <v/>
      </c>
      <c r="X23">
        <f>HYPERLINK("https://klasma.github.io/Logging_1401/tillsyn/A 41457-2023 tillsynsbegäran.docx", "A 41457-2023")</f>
        <v/>
      </c>
      <c r="Y23">
        <f>HYPERLINK("https://klasma.github.io/Logging_1401/tillsynsmail/A 41457-2023 tillsynsbegäran mail.docx", "A 41457-2023")</f>
        <v/>
      </c>
    </row>
    <row r="24" ht="15" customHeight="1">
      <c r="A24" t="inlineStr">
        <is>
          <t>A 19977-2022</t>
        </is>
      </c>
      <c r="B24" s="1" t="n">
        <v>44697</v>
      </c>
      <c r="C24" s="1" t="n">
        <v>46199</v>
      </c>
      <c r="D24" t="inlineStr">
        <is>
          <t>VÄSTRA GÖTALANDS LÄN</t>
        </is>
      </c>
      <c r="E24" t="inlineStr">
        <is>
          <t>HÄRRYDA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19977-2022 artfynd.xlsx", "A 19977-2022")</f>
        <v/>
      </c>
      <c r="T24">
        <f>HYPERLINK("https://klasma.github.io/Logging_1401/kartor/A 19977-2022 karta.png", "A 19977-2022")</f>
        <v/>
      </c>
      <c r="V24">
        <f>HYPERLINK("https://klasma.github.io/Logging_1401/klagomål/A 19977-2022 FSC-klagomål.docx", "A 19977-2022")</f>
        <v/>
      </c>
      <c r="W24">
        <f>HYPERLINK("https://klasma.github.io/Logging_1401/klagomålsmail/A 19977-2022 FSC-klagomål mail.docx", "A 19977-2022")</f>
        <v/>
      </c>
      <c r="X24">
        <f>HYPERLINK("https://klasma.github.io/Logging_1401/tillsyn/A 19977-2022 tillsynsbegäran.docx", "A 19977-2022")</f>
        <v/>
      </c>
      <c r="Y24">
        <f>HYPERLINK("https://klasma.github.io/Logging_1401/tillsynsmail/A 19977-2022 tillsynsbegäran mail.docx", "A 19977-2022")</f>
        <v/>
      </c>
    </row>
    <row r="25" ht="15" customHeight="1">
      <c r="A25" t="inlineStr">
        <is>
          <t>A 21398-2023</t>
        </is>
      </c>
      <c r="B25" s="1" t="n">
        <v>45063</v>
      </c>
      <c r="C25" s="1" t="n">
        <v>46199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21398-2023 artfynd.xlsx", "A 21398-2023")</f>
        <v/>
      </c>
      <c r="T25">
        <f>HYPERLINK("https://klasma.github.io/Logging_1401/kartor/A 21398-2023 karta.png", "A 21398-2023")</f>
        <v/>
      </c>
      <c r="V25">
        <f>HYPERLINK("https://klasma.github.io/Logging_1401/klagomål/A 21398-2023 FSC-klagomål.docx", "A 21398-2023")</f>
        <v/>
      </c>
      <c r="W25">
        <f>HYPERLINK("https://klasma.github.io/Logging_1401/klagomålsmail/A 21398-2023 FSC-klagomål mail.docx", "A 21398-2023")</f>
        <v/>
      </c>
      <c r="X25">
        <f>HYPERLINK("https://klasma.github.io/Logging_1401/tillsyn/A 21398-2023 tillsynsbegäran.docx", "A 21398-2023")</f>
        <v/>
      </c>
      <c r="Y25">
        <f>HYPERLINK("https://klasma.github.io/Logging_1401/tillsynsmail/A 21398-2023 tillsynsbegäran mail.docx", "A 21398-2023")</f>
        <v/>
      </c>
    </row>
    <row r="26" ht="15" customHeight="1">
      <c r="A26" t="inlineStr">
        <is>
          <t>A 58481-2022</t>
        </is>
      </c>
      <c r="B26" s="1" t="n">
        <v>44902</v>
      </c>
      <c r="C26" s="1" t="n">
        <v>46199</v>
      </c>
      <c r="D26" t="inlineStr">
        <is>
          <t>VÄSTRA GÖTALANDS LÄN</t>
        </is>
      </c>
      <c r="E26" t="inlineStr">
        <is>
          <t>HÄRRYDA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58481-2022 artfynd.xlsx", "A 58481-2022")</f>
        <v/>
      </c>
      <c r="T26">
        <f>HYPERLINK("https://klasma.github.io/Logging_1401/kartor/A 58481-2022 karta.png", "A 58481-2022")</f>
        <v/>
      </c>
      <c r="V26">
        <f>HYPERLINK("https://klasma.github.io/Logging_1401/klagomål/A 58481-2022 FSC-klagomål.docx", "A 58481-2022")</f>
        <v/>
      </c>
      <c r="W26">
        <f>HYPERLINK("https://klasma.github.io/Logging_1401/klagomålsmail/A 58481-2022 FSC-klagomål mail.docx", "A 58481-2022")</f>
        <v/>
      </c>
      <c r="X26">
        <f>HYPERLINK("https://klasma.github.io/Logging_1401/tillsyn/A 58481-2022 tillsynsbegäran.docx", "A 58481-2022")</f>
        <v/>
      </c>
      <c r="Y26">
        <f>HYPERLINK("https://klasma.github.io/Logging_1401/tillsynsmail/A 58481-2022 tillsynsbegäran mail.docx", "A 58481-2022")</f>
        <v/>
      </c>
    </row>
    <row r="27" ht="15" customHeight="1">
      <c r="A27" t="inlineStr">
        <is>
          <t>A 52164-2023</t>
        </is>
      </c>
      <c r="B27" s="1" t="n">
        <v>45224</v>
      </c>
      <c r="C27" s="1" t="n">
        <v>46199</v>
      </c>
      <c r="D27" t="inlineStr">
        <is>
          <t>VÄSTRA GÖTALANDS LÄN</t>
        </is>
      </c>
      <c r="E27" t="inlineStr">
        <is>
          <t>HÄRRYDA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HYPERLINK("https://klasma.github.io/Logging_1401/artfynd/A 52164-2023 artfynd.xlsx", "A 52164-2023")</f>
        <v/>
      </c>
      <c r="T27">
        <f>HYPERLINK("https://klasma.github.io/Logging_1401/kartor/A 52164-2023 karta.png", "A 52164-2023")</f>
        <v/>
      </c>
      <c r="V27">
        <f>HYPERLINK("https://klasma.github.io/Logging_1401/klagomål/A 52164-2023 FSC-klagomål.docx", "A 52164-2023")</f>
        <v/>
      </c>
      <c r="W27">
        <f>HYPERLINK("https://klasma.github.io/Logging_1401/klagomålsmail/A 52164-2023 FSC-klagomål mail.docx", "A 52164-2023")</f>
        <v/>
      </c>
      <c r="X27">
        <f>HYPERLINK("https://klasma.github.io/Logging_1401/tillsyn/A 52164-2023 tillsynsbegäran.docx", "A 52164-2023")</f>
        <v/>
      </c>
      <c r="Y27">
        <f>HYPERLINK("https://klasma.github.io/Logging_1401/tillsynsmail/A 52164-2023 tillsynsbegäran mail.docx", "A 52164-2023")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46199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46199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46199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46199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46199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46199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46199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46199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46199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46199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46199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</v>
      </c>
      <c r="C39" s="1" t="n">
        <v>46199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46199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46199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64560-2023</t>
        </is>
      </c>
      <c r="B42" s="1" t="n">
        <v>45281</v>
      </c>
      <c r="C42" s="1" t="n">
        <v>46199</v>
      </c>
      <c r="D42" t="inlineStr">
        <is>
          <t>VÄSTRA GÖTALANDS LÄN</t>
        </is>
      </c>
      <c r="E42" t="inlineStr">
        <is>
          <t>HÄRRYDA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51162-2023</t>
        </is>
      </c>
      <c r="B43" s="1" t="n">
        <v>45219</v>
      </c>
      <c r="C43" s="1" t="n">
        <v>46199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12091-2024</t>
        </is>
      </c>
      <c r="B44" s="1" t="n">
        <v>45377</v>
      </c>
      <c r="C44" s="1" t="n">
        <v>46199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14183-2024</t>
        </is>
      </c>
      <c r="B45" s="1" t="n">
        <v>45393</v>
      </c>
      <c r="C45" s="1" t="n">
        <v>46199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51127-2023</t>
        </is>
      </c>
      <c r="B46" s="1" t="n">
        <v>45219</v>
      </c>
      <c r="C46" s="1" t="n">
        <v>46199</v>
      </c>
      <c r="D46" t="inlineStr">
        <is>
          <t>VÄSTRA GÖTALANDS LÄN</t>
        </is>
      </c>
      <c r="E46" t="inlineStr">
        <is>
          <t>HÄRRYDA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51130-2023</t>
        </is>
      </c>
      <c r="B47" s="1" t="n">
        <v>45219</v>
      </c>
      <c r="C47" s="1" t="n">
        <v>46199</v>
      </c>
      <c r="D47" t="inlineStr">
        <is>
          <t>VÄSTRA GÖTALANDS LÄN</t>
        </is>
      </c>
      <c r="E47" t="inlineStr">
        <is>
          <t>HÄRRYDA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4433-2025</t>
        </is>
      </c>
      <c r="B48" s="1" t="n">
        <v>45686</v>
      </c>
      <c r="C48" s="1" t="n">
        <v>46199</v>
      </c>
      <c r="D48" t="inlineStr">
        <is>
          <t>VÄSTRA GÖTALANDS LÄN</t>
        </is>
      </c>
      <c r="E48" t="inlineStr">
        <is>
          <t>HÄRRYDA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22271-2025</t>
        </is>
      </c>
      <c r="B49" s="1" t="n">
        <v>45785</v>
      </c>
      <c r="C49" s="1" t="n">
        <v>46199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2605-2024</t>
        </is>
      </c>
      <c r="B50" s="1" t="n">
        <v>45313</v>
      </c>
      <c r="C50" s="1" t="n">
        <v>46199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24542-2025</t>
        </is>
      </c>
      <c r="B51" s="1" t="n">
        <v>45798</v>
      </c>
      <c r="C51" s="1" t="n">
        <v>46199</v>
      </c>
      <c r="D51" t="inlineStr">
        <is>
          <t>VÄSTRA GÖTALANDS LÄN</t>
        </is>
      </c>
      <c r="E51" t="inlineStr">
        <is>
          <t>HÄRRYDA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40273-2025</t>
        </is>
      </c>
      <c r="B52" s="1" t="n">
        <v>45895</v>
      </c>
      <c r="C52" s="1" t="n">
        <v>46199</v>
      </c>
      <c r="D52" t="inlineStr">
        <is>
          <t>VÄSTRA GÖTALANDS LÄN</t>
        </is>
      </c>
      <c r="E52" t="inlineStr">
        <is>
          <t>HÄRRYDA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40306-2025</t>
        </is>
      </c>
      <c r="B53" s="1" t="n">
        <v>45895</v>
      </c>
      <c r="C53" s="1" t="n">
        <v>46199</v>
      </c>
      <c r="D53" t="inlineStr">
        <is>
          <t>VÄSTRA GÖTALANDS LÄN</t>
        </is>
      </c>
      <c r="E53" t="inlineStr">
        <is>
          <t>HÄRRYDA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</v>
      </c>
      <c r="C54" s="1" t="n">
        <v>46199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14468-2023</t>
        </is>
      </c>
      <c r="B55" s="1" t="n">
        <v>45012</v>
      </c>
      <c r="C55" s="1" t="n">
        <v>46199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26992-2025</t>
        </is>
      </c>
      <c r="B56" s="1" t="n">
        <v>45811</v>
      </c>
      <c r="C56" s="1" t="n">
        <v>46199</v>
      </c>
      <c r="D56" t="inlineStr">
        <is>
          <t>VÄSTRA GÖTALANDS LÄN</t>
        </is>
      </c>
      <c r="E56" t="inlineStr">
        <is>
          <t>HÄRRYDA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27513-2025</t>
        </is>
      </c>
      <c r="B57" s="1" t="n">
        <v>45813</v>
      </c>
      <c r="C57" s="1" t="n">
        <v>46199</v>
      </c>
      <c r="D57" t="inlineStr">
        <is>
          <t>VÄSTRA GÖTALANDS LÄN</t>
        </is>
      </c>
      <c r="E57" t="inlineStr">
        <is>
          <t>HÄRRYDA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11697-2024</t>
        </is>
      </c>
      <c r="B58" s="1" t="n">
        <v>45373</v>
      </c>
      <c r="C58" s="1" t="n">
        <v>46199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56558-2024</t>
        </is>
      </c>
      <c r="B59" s="1" t="n">
        <v>45625</v>
      </c>
      <c r="C59" s="1" t="n">
        <v>46199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46349-2025</t>
        </is>
      </c>
      <c r="B60" s="1" t="n">
        <v>45925</v>
      </c>
      <c r="C60" s="1" t="n">
        <v>46199</v>
      </c>
      <c r="D60" t="inlineStr">
        <is>
          <t>VÄSTRA GÖTALANDS LÄN</t>
        </is>
      </c>
      <c r="E60" t="inlineStr">
        <is>
          <t>HÄRRYDA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60323-2025</t>
        </is>
      </c>
      <c r="B61" s="1" t="n">
        <v>45994</v>
      </c>
      <c r="C61" s="1" t="n">
        <v>46199</v>
      </c>
      <c r="D61" t="inlineStr">
        <is>
          <t>VÄSTRA GÖTALANDS LÄN</t>
        </is>
      </c>
      <c r="E61" t="inlineStr">
        <is>
          <t>HÄRRYDA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48440-2025</t>
        </is>
      </c>
      <c r="B62" s="1" t="n">
        <v>45935</v>
      </c>
      <c r="C62" s="1" t="n">
        <v>46199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48538-2025</t>
        </is>
      </c>
      <c r="B63" s="1" t="n">
        <v>45936</v>
      </c>
      <c r="C63" s="1" t="n">
        <v>46199</v>
      </c>
      <c r="D63" t="inlineStr">
        <is>
          <t>VÄSTRA GÖTALANDS LÄN</t>
        </is>
      </c>
      <c r="E63" t="inlineStr">
        <is>
          <t>HÄRRYDA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48432-2025</t>
        </is>
      </c>
      <c r="B64" s="1" t="n">
        <v>45934</v>
      </c>
      <c r="C64" s="1" t="n">
        <v>46199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7356-2025</t>
        </is>
      </c>
      <c r="B65" s="1" t="n">
        <v>45704</v>
      </c>
      <c r="C65" s="1" t="n">
        <v>46199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9492-2025</t>
        </is>
      </c>
      <c r="B66" s="1" t="n">
        <v>45715</v>
      </c>
      <c r="C66" s="1" t="n">
        <v>46199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9494-2025</t>
        </is>
      </c>
      <c r="B67" s="1" t="n">
        <v>45715</v>
      </c>
      <c r="C67" s="1" t="n">
        <v>46199</v>
      </c>
      <c r="D67" t="inlineStr">
        <is>
          <t>VÄSTRA GÖTALANDS LÄN</t>
        </is>
      </c>
      <c r="E67" t="inlineStr">
        <is>
          <t>HÄRRYDA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51501-2025</t>
        </is>
      </c>
      <c r="B68" s="1" t="n">
        <v>45950</v>
      </c>
      <c r="C68" s="1" t="n">
        <v>46199</v>
      </c>
      <c r="D68" t="inlineStr">
        <is>
          <t>VÄSTRA GÖTALANDS LÄN</t>
        </is>
      </c>
      <c r="E68" t="inlineStr">
        <is>
          <t>HÄRRYDA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35404-2025</t>
        </is>
      </c>
      <c r="B69" s="1" t="n">
        <v>45855</v>
      </c>
      <c r="C69" s="1" t="n">
        <v>46199</v>
      </c>
      <c r="D69" t="inlineStr">
        <is>
          <t>VÄSTRA GÖTALANDS LÄN</t>
        </is>
      </c>
      <c r="E69" t="inlineStr">
        <is>
          <t>HÄRRYDA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16509-2025</t>
        </is>
      </c>
      <c r="B70" s="1" t="n">
        <v>45751</v>
      </c>
      <c r="C70" s="1" t="n">
        <v>46199</v>
      </c>
      <c r="D70" t="inlineStr">
        <is>
          <t>VÄSTRA GÖTALANDS LÄN</t>
        </is>
      </c>
      <c r="E70" t="inlineStr">
        <is>
          <t>HÄRRYDA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51157-2023</t>
        </is>
      </c>
      <c r="B71" s="1" t="n">
        <v>45219</v>
      </c>
      <c r="C71" s="1" t="n">
        <v>46199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55273-2025</t>
        </is>
      </c>
      <c r="B72" s="1" t="n">
        <v>45968</v>
      </c>
      <c r="C72" s="1" t="n">
        <v>46199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40053-2023</t>
        </is>
      </c>
      <c r="B73" s="1" t="n">
        <v>45168</v>
      </c>
      <c r="C73" s="1" t="n">
        <v>46199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5630-2023</t>
        </is>
      </c>
      <c r="B74" s="1" t="n">
        <v>44960</v>
      </c>
      <c r="C74" s="1" t="n">
        <v>46199</v>
      </c>
      <c r="D74" t="inlineStr">
        <is>
          <t>VÄSTRA GÖTALANDS LÄN</t>
        </is>
      </c>
      <c r="E74" t="inlineStr">
        <is>
          <t>HÄRRYDA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25439-2022</t>
        </is>
      </c>
      <c r="B75" s="1" t="n">
        <v>44732</v>
      </c>
      <c r="C75" s="1" t="n">
        <v>46199</v>
      </c>
      <c r="D75" t="inlineStr">
        <is>
          <t>VÄSTRA GÖTALANDS LÄN</t>
        </is>
      </c>
      <c r="E75" t="inlineStr">
        <is>
          <t>HÄRRYDA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25726-2022</t>
        </is>
      </c>
      <c r="B76" s="1" t="n">
        <v>44733</v>
      </c>
      <c r="C76" s="1" t="n">
        <v>46199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9785-2026</t>
        </is>
      </c>
      <c r="B77" s="1" t="n">
        <v>46072</v>
      </c>
      <c r="C77" s="1" t="n">
        <v>46199</v>
      </c>
      <c r="D77" t="inlineStr">
        <is>
          <t>VÄSTRA GÖTALANDS LÄN</t>
        </is>
      </c>
      <c r="E77" t="inlineStr">
        <is>
          <t>HÄRRYDA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16679-2025</t>
        </is>
      </c>
      <c r="B78" s="1" t="n">
        <v>45754</v>
      </c>
      <c r="C78" s="1" t="n">
        <v>46199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47334-2024</t>
        </is>
      </c>
      <c r="B79" s="1" t="n">
        <v>45587</v>
      </c>
      <c r="C79" s="1" t="n">
        <v>46199</v>
      </c>
      <c r="D79" t="inlineStr">
        <is>
          <t>VÄSTRA GÖTALANDS LÄN</t>
        </is>
      </c>
      <c r="E79" t="inlineStr">
        <is>
          <t>HÄRRYDA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13951-2026</t>
        </is>
      </c>
      <c r="B80" s="1" t="n">
        <v>46098</v>
      </c>
      <c r="C80" s="1" t="n">
        <v>46199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7575-2025</t>
        </is>
      </c>
      <c r="B81" s="1" t="n">
        <v>45705</v>
      </c>
      <c r="C81" s="1" t="n">
        <v>46199</v>
      </c>
      <c r="D81" t="inlineStr">
        <is>
          <t>VÄSTRA GÖTALANDS LÄN</t>
        </is>
      </c>
      <c r="E81" t="inlineStr">
        <is>
          <t>HÄRRYDA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41318-2022</t>
        </is>
      </c>
      <c r="B82" s="1" t="n">
        <v>44826</v>
      </c>
      <c r="C82" s="1" t="n">
        <v>46199</v>
      </c>
      <c r="D82" t="inlineStr">
        <is>
          <t>VÄSTRA GÖTALANDS LÄN</t>
        </is>
      </c>
      <c r="E82" t="inlineStr">
        <is>
          <t>HÄRRYDA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14473-2026</t>
        </is>
      </c>
      <c r="B83" s="1" t="n">
        <v>46100</v>
      </c>
      <c r="C83" s="1" t="n">
        <v>46199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15698-2026</t>
        </is>
      </c>
      <c r="B84" s="1" t="n">
        <v>46107</v>
      </c>
      <c r="C84" s="1" t="n">
        <v>46199</v>
      </c>
      <c r="D84" t="inlineStr">
        <is>
          <t>VÄSTRA GÖTALANDS LÄN</t>
        </is>
      </c>
      <c r="E84" t="inlineStr">
        <is>
          <t>HÄRRYDA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15700-2026</t>
        </is>
      </c>
      <c r="B85" s="1" t="n">
        <v>46107</v>
      </c>
      <c r="C85" s="1" t="n">
        <v>46199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15704-2026</t>
        </is>
      </c>
      <c r="B86" s="1" t="n">
        <v>46107</v>
      </c>
      <c r="C86" s="1" t="n">
        <v>46199</v>
      </c>
      <c r="D86" t="inlineStr">
        <is>
          <t>VÄSTRA GÖTALANDS LÄN</t>
        </is>
      </c>
      <c r="E86" t="inlineStr">
        <is>
          <t>HÄRRYDA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15401-2026</t>
        </is>
      </c>
      <c r="B87" s="1" t="n">
        <v>46106</v>
      </c>
      <c r="C87" s="1" t="n">
        <v>46199</v>
      </c>
      <c r="D87" t="inlineStr">
        <is>
          <t>VÄSTRA GÖTALANDS LÄN</t>
        </is>
      </c>
      <c r="E87" t="inlineStr">
        <is>
          <t>HÄRRYDA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20727-2023</t>
        </is>
      </c>
      <c r="B88" s="1" t="n">
        <v>45058</v>
      </c>
      <c r="C88" s="1" t="n">
        <v>46199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41725-2024</t>
        </is>
      </c>
      <c r="B89" s="1" t="n">
        <v>45560</v>
      </c>
      <c r="C89" s="1" t="n">
        <v>46199</v>
      </c>
      <c r="D89" t="inlineStr">
        <is>
          <t>VÄSTRA GÖTALANDS LÄN</t>
        </is>
      </c>
      <c r="E89" t="inlineStr">
        <is>
          <t>HÄRRYDA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21800-2023</t>
        </is>
      </c>
      <c r="B90" s="1" t="n">
        <v>45067</v>
      </c>
      <c r="C90" s="1" t="n">
        <v>46199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34665-2023</t>
        </is>
      </c>
      <c r="B91" s="1" t="n">
        <v>45140</v>
      </c>
      <c r="C91" s="1" t="n">
        <v>46199</v>
      </c>
      <c r="D91" t="inlineStr">
        <is>
          <t>VÄSTRA GÖTALANDS LÄN</t>
        </is>
      </c>
      <c r="E91" t="inlineStr">
        <is>
          <t>HÄRRYDA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69563-2021</t>
        </is>
      </c>
      <c r="B92" s="1" t="n">
        <v>44532</v>
      </c>
      <c r="C92" s="1" t="n">
        <v>46199</v>
      </c>
      <c r="D92" t="inlineStr">
        <is>
          <t>VÄSTRA GÖTALANDS LÄN</t>
        </is>
      </c>
      <c r="E92" t="inlineStr">
        <is>
          <t>HÄRRYDA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15480-2025</t>
        </is>
      </c>
      <c r="B93" s="1" t="n">
        <v>45747</v>
      </c>
      <c r="C93" s="1" t="n">
        <v>46199</v>
      </c>
      <c r="D93" t="inlineStr">
        <is>
          <t>VÄSTRA GÖTALANDS LÄN</t>
        </is>
      </c>
      <c r="E93" t="inlineStr">
        <is>
          <t>HÄRRYDA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2946-2024</t>
        </is>
      </c>
      <c r="B94" s="1" t="n">
        <v>45315</v>
      </c>
      <c r="C94" s="1" t="n">
        <v>46199</v>
      </c>
      <c r="D94" t="inlineStr">
        <is>
          <t>VÄSTRA GÖTALANDS LÄN</t>
        </is>
      </c>
      <c r="E94" t="inlineStr">
        <is>
          <t>HÄRRYDA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61741-2025</t>
        </is>
      </c>
      <c r="B95" s="1" t="n">
        <v>46002</v>
      </c>
      <c r="C95" s="1" t="n">
        <v>46199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12090-2024</t>
        </is>
      </c>
      <c r="B96" s="1" t="n">
        <v>45377</v>
      </c>
      <c r="C96" s="1" t="n">
        <v>46199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52043-2024</t>
        </is>
      </c>
      <c r="B97" s="1" t="n">
        <v>45608</v>
      </c>
      <c r="C97" s="1" t="n">
        <v>46199</v>
      </c>
      <c r="D97" t="inlineStr">
        <is>
          <t>VÄSTRA GÖTALANDS LÄN</t>
        </is>
      </c>
      <c r="E97" t="inlineStr">
        <is>
          <t>HÄRRYDA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57269-2024</t>
        </is>
      </c>
      <c r="B98" s="1" t="n">
        <v>45629</v>
      </c>
      <c r="C98" s="1" t="n">
        <v>46199</v>
      </c>
      <c r="D98" t="inlineStr">
        <is>
          <t>VÄSTRA GÖTALANDS LÄN</t>
        </is>
      </c>
      <c r="E98" t="inlineStr">
        <is>
          <t>HÄRRYDA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29697-2023</t>
        </is>
      </c>
      <c r="B99" s="1" t="n">
        <v>45107</v>
      </c>
      <c r="C99" s="1" t="n">
        <v>46199</v>
      </c>
      <c r="D99" t="inlineStr">
        <is>
          <t>VÄSTRA GÖTALANDS LÄN</t>
        </is>
      </c>
      <c r="E99" t="inlineStr">
        <is>
          <t>HÄRRYDA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23492-2022</t>
        </is>
      </c>
      <c r="B100" s="1" t="n">
        <v>44721</v>
      </c>
      <c r="C100" s="1" t="n">
        <v>46199</v>
      </c>
      <c r="D100" t="inlineStr">
        <is>
          <t>VÄSTRA GÖTALANDS LÄN</t>
        </is>
      </c>
      <c r="E100" t="inlineStr">
        <is>
          <t>HÄRRYDA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61737-2025</t>
        </is>
      </c>
      <c r="B101" s="1" t="n">
        <v>46002</v>
      </c>
      <c r="C101" s="1" t="n">
        <v>46199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39761-2023</t>
        </is>
      </c>
      <c r="B102" s="1" t="n">
        <v>45167</v>
      </c>
      <c r="C102" s="1" t="n">
        <v>46199</v>
      </c>
      <c r="D102" t="inlineStr">
        <is>
          <t>VÄSTRA GÖTALANDS LÄN</t>
        </is>
      </c>
      <c r="E102" t="inlineStr">
        <is>
          <t>HÄRRYDA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72891-2021</t>
        </is>
      </c>
      <c r="B103" s="1" t="n">
        <v>44547</v>
      </c>
      <c r="C103" s="1" t="n">
        <v>46199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46798-2024</t>
        </is>
      </c>
      <c r="B104" s="1" t="n">
        <v>45583</v>
      </c>
      <c r="C104" s="1" t="n">
        <v>46199</v>
      </c>
      <c r="D104" t="inlineStr">
        <is>
          <t>VÄSTRA GÖTALANDS LÄN</t>
        </is>
      </c>
      <c r="E104" t="inlineStr">
        <is>
          <t>HÄRRYDA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65080-2023</t>
        </is>
      </c>
      <c r="B105" s="1" t="n">
        <v>45287</v>
      </c>
      <c r="C105" s="1" t="n">
        <v>46199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3753-2024</t>
        </is>
      </c>
      <c r="B106" s="1" t="n">
        <v>45321</v>
      </c>
      <c r="C106" s="1" t="n">
        <v>46199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1807-2024</t>
        </is>
      </c>
      <c r="B107" s="1" t="n">
        <v>45307</v>
      </c>
      <c r="C107" s="1" t="n">
        <v>46199</v>
      </c>
      <c r="D107" t="inlineStr">
        <is>
          <t>VÄSTRA GÖTALANDS LÄN</t>
        </is>
      </c>
      <c r="E107" t="inlineStr">
        <is>
          <t>HÄRRYDA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59711-2022</t>
        </is>
      </c>
      <c r="B108" s="1" t="n">
        <v>44908</v>
      </c>
      <c r="C108" s="1" t="n">
        <v>46199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39762-2023</t>
        </is>
      </c>
      <c r="B109" s="1" t="n">
        <v>45167</v>
      </c>
      <c r="C109" s="1" t="n">
        <v>46199</v>
      </c>
      <c r="D109" t="inlineStr">
        <is>
          <t>VÄSTRA GÖTALANDS LÄN</t>
        </is>
      </c>
      <c r="E109" t="inlineStr">
        <is>
          <t>HÄRRYDA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61874-2024</t>
        </is>
      </c>
      <c r="B110" s="1" t="n">
        <v>45651</v>
      </c>
      <c r="C110" s="1" t="n">
        <v>46199</v>
      </c>
      <c r="D110" t="inlineStr">
        <is>
          <t>VÄSTRA GÖTALANDS LÄN</t>
        </is>
      </c>
      <c r="E110" t="inlineStr">
        <is>
          <t>HÄRRYDA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25499-2022</t>
        </is>
      </c>
      <c r="B111" s="1" t="n">
        <v>44732</v>
      </c>
      <c r="C111" s="1" t="n">
        <v>46199</v>
      </c>
      <c r="D111" t="inlineStr">
        <is>
          <t>VÄSTRA GÖTALANDS LÄN</t>
        </is>
      </c>
      <c r="E111" t="inlineStr">
        <is>
          <t>HÄRRYDA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32866-2022</t>
        </is>
      </c>
      <c r="B112" s="1" t="n">
        <v>44784</v>
      </c>
      <c r="C112" s="1" t="n">
        <v>46199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5985-2024</t>
        </is>
      </c>
      <c r="B113" s="1" t="n">
        <v>45336</v>
      </c>
      <c r="C113" s="1" t="n">
        <v>46199</v>
      </c>
      <c r="D113" t="inlineStr">
        <is>
          <t>VÄSTRA GÖTALANDS LÄN</t>
        </is>
      </c>
      <c r="E113" t="inlineStr">
        <is>
          <t>HÄRRYDA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64291-2023</t>
        </is>
      </c>
      <c r="B114" s="1" t="n">
        <v>45280</v>
      </c>
      <c r="C114" s="1" t="n">
        <v>46199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47350-2024</t>
        </is>
      </c>
      <c r="B115" s="1" t="n">
        <v>45587</v>
      </c>
      <c r="C115" s="1" t="n">
        <v>46199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4315-2024</t>
        </is>
      </c>
      <c r="B116" s="1" t="n">
        <v>45324</v>
      </c>
      <c r="C116" s="1" t="n">
        <v>46199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1551-2022</t>
        </is>
      </c>
      <c r="B117" s="1" t="n">
        <v>44573</v>
      </c>
      <c r="C117" s="1" t="n">
        <v>46199</v>
      </c>
      <c r="D117" t="inlineStr">
        <is>
          <t>VÄSTRA GÖTALANDS LÄN</t>
        </is>
      </c>
      <c r="E117" t="inlineStr">
        <is>
          <t>HÄRRYDA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51012-2023</t>
        </is>
      </c>
      <c r="B118" s="1" t="n">
        <v>45218</v>
      </c>
      <c r="C118" s="1" t="n">
        <v>46199</v>
      </c>
      <c r="D118" t="inlineStr">
        <is>
          <t>VÄSTRA GÖTALANDS LÄN</t>
        </is>
      </c>
      <c r="E118" t="inlineStr">
        <is>
          <t>HÄRRYDA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56832-2023</t>
        </is>
      </c>
      <c r="B119" s="1" t="n">
        <v>45244</v>
      </c>
      <c r="C119" s="1" t="n">
        <v>46199</v>
      </c>
      <c r="D119" t="inlineStr">
        <is>
          <t>VÄSTRA GÖTALANDS LÄN</t>
        </is>
      </c>
      <c r="E119" t="inlineStr">
        <is>
          <t>HÄRRYDA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60432-2022</t>
        </is>
      </c>
      <c r="B120" s="1" t="n">
        <v>44911</v>
      </c>
      <c r="C120" s="1" t="n">
        <v>46199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13108-2023</t>
        </is>
      </c>
      <c r="B121" s="1" t="n">
        <v>45002</v>
      </c>
      <c r="C121" s="1" t="n">
        <v>46199</v>
      </c>
      <c r="D121" t="inlineStr">
        <is>
          <t>VÄSTRA GÖTALANDS LÄN</t>
        </is>
      </c>
      <c r="E121" t="inlineStr">
        <is>
          <t>HÄRRYDA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29696-2023</t>
        </is>
      </c>
      <c r="B122" s="1" t="n">
        <v>45107</v>
      </c>
      <c r="C122" s="1" t="n">
        <v>46199</v>
      </c>
      <c r="D122" t="inlineStr">
        <is>
          <t>VÄSTRA GÖTALANDS LÄN</t>
        </is>
      </c>
      <c r="E122" t="inlineStr">
        <is>
          <t>HÄRRYDA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5987-2024</t>
        </is>
      </c>
      <c r="B123" s="1" t="n">
        <v>45336</v>
      </c>
      <c r="C123" s="1" t="n">
        <v>46199</v>
      </c>
      <c r="D123" t="inlineStr">
        <is>
          <t>VÄSTRA GÖTALANDS LÄN</t>
        </is>
      </c>
      <c r="E123" t="inlineStr">
        <is>
          <t>HÄRRYDA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55071-2023</t>
        </is>
      </c>
      <c r="B124" s="1" t="n">
        <v>45237</v>
      </c>
      <c r="C124" s="1" t="n">
        <v>46199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51154-2023</t>
        </is>
      </c>
      <c r="B125" s="1" t="n">
        <v>45219</v>
      </c>
      <c r="C125" s="1" t="n">
        <v>46199</v>
      </c>
      <c r="D125" t="inlineStr">
        <is>
          <t>VÄSTRA GÖTALANDS LÄN</t>
        </is>
      </c>
      <c r="E125" t="inlineStr">
        <is>
          <t>HÄRRYDA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52166-2023</t>
        </is>
      </c>
      <c r="B126" s="1" t="n">
        <v>45224</v>
      </c>
      <c r="C126" s="1" t="n">
        <v>46199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2026-06-26T00:49:44Z</dcterms:created>
  <dcterms:modified xmlns:dcterms="http://purl.org/dc/terms/" xmlns:xsi="http://www.w3.org/2001/XMLSchema-instance" xsi:type="dcterms:W3CDTF">2026-06-26T00:49:45Z</dcterms:modified>
</cp:coreProperties>
</file>