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46310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46310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46310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46310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46310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46310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46310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46310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55274-2025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45968</v>
      </c>
      <c r="E17" s="1" t="n">
        <v>46310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Skuggmossa
Trådticka</t>
        </is>
      </c>
      <c r="W17">
        <f>HYPERLINK("https://klasma.github.io/Logging_1401/artfynd/A 55274-2025 artfynd.xlsx", "A 55274-2025")</f>
        <v/>
      </c>
      <c r="X17">
        <f>HYPERLINK("https://klasma.github.io/Logging_1401/kartor/A 55274-2025 karta.png", "A 55274-2025")</f>
        <v/>
      </c>
      <c r="Y17">
        <f>HYPERLINK("https://klasma.github.io/Logging_1401/kartor_geotiff/A 55274-2025 georefererad karta.tif", "A 55274-2025")</f>
        <v/>
      </c>
      <c r="AA17">
        <f>HYPERLINK("https://klasma.github.io/Logging_1401/klagomål/A 55274-2025 FSC-klagomål.docx", "A 55274-2025")</f>
        <v/>
      </c>
      <c r="AB17">
        <f>HYPERLINK("https://klasma.github.io/Logging_1401/klagomålsmail/A 55274-2025 FSC-klagomål mail.docx", "A 55274-2025")</f>
        <v/>
      </c>
      <c r="AC17">
        <f>HYPERLINK("https://klasma.github.io/Logging_1401/tillsyn/A 55274-2025 tillsynsbegäran.docx", "A 55274-2025")</f>
        <v/>
      </c>
      <c r="AD17">
        <f>HYPERLINK("https://klasma.github.io/Logging_1401/tillsynsmail/A 55274-2025 tillsynsbegäran mail.docx", "A 55274-2025")</f>
        <v/>
      </c>
    </row>
    <row r="18" ht="15" customHeight="1">
      <c r="A18" t="inlineStr">
        <is>
          <t>A 27676-2026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46310</v>
      </c>
      <c r="F18" t="inlineStr">
        <is>
          <t>VÄSTRA GÖTALANDS LÄN</t>
        </is>
      </c>
      <c r="G18" t="inlineStr">
        <is>
          <t>HÄRRYDA</t>
        </is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Klippfrullania
Revlummer</t>
        </is>
      </c>
      <c r="W18">
        <f>HYPERLINK("https://klasma.github.io/Logging_1401/artfynd/A 27676-2026 artfynd.xlsx", "A 27676-2026")</f>
        <v/>
      </c>
      <c r="X18">
        <f>HYPERLINK("https://klasma.github.io/Logging_1401/kartor/A 27676-2026 karta.png", "A 27676-2026")</f>
        <v/>
      </c>
      <c r="Y18">
        <f>HYPERLINK("https://klasma.github.io/Logging_1401/kartor_geotiff/A 27676-2026 georefererad karta.tif", "A 27676-2026")</f>
        <v/>
      </c>
      <c r="AA18">
        <f>HYPERLINK("https://klasma.github.io/Logging_1401/klagomål/A 27676-2026 FSC-klagomål.docx", "A 27676-2026")</f>
        <v/>
      </c>
      <c r="AB18">
        <f>HYPERLINK("https://klasma.github.io/Logging_1401/klagomålsmail/A 27676-2026 FSC-klagomål mail.docx", "A 27676-2026")</f>
        <v/>
      </c>
      <c r="AC18">
        <f>HYPERLINK("https://klasma.github.io/Logging_1401/tillsyn/A 27676-2026 tillsynsbegäran.docx", "A 27676-2026")</f>
        <v/>
      </c>
      <c r="AD18">
        <f>HYPERLINK("https://klasma.github.io/Logging_1401/tillsynsmail/A 27676-2026 tillsynsbegäran mail.docx", "A 27676-2026")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46310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46310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46310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46310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46310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46310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46310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46310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55686-2023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45239</v>
      </c>
      <c r="E27" s="1" t="n">
        <v>46310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3</v>
      </c>
      <c r="V27" s="2" t="inlineStr">
        <is>
          <t>Tjäder</t>
        </is>
      </c>
      <c r="W27">
        <f>HYPERLINK("https://klasma.github.io/Logging_1401/artfynd/A 55686-2023 artfynd.xlsx", "A 55686-2023")</f>
        <v/>
      </c>
      <c r="X27">
        <f>HYPERLINK("https://klasma.github.io/Logging_1401/kartor/A 55686-2023 karta.png", "A 55686-2023")</f>
        <v/>
      </c>
      <c r="Y27">
        <f>HYPERLINK("https://klasma.github.io/Logging_1401/kartor_geotiff/A 55686-2023 georefererad karta.tif", "A 55686-2023")</f>
        <v/>
      </c>
      <c r="AA27">
        <f>HYPERLINK("https://klasma.github.io/Logging_1401/klagomål/A 55686-2023 FSC-klagomål.docx", "A 55686-2023")</f>
        <v/>
      </c>
      <c r="AB27">
        <f>HYPERLINK("https://klasma.github.io/Logging_1401/klagomålsmail/A 55686-2023 FSC-klagomål mail.docx", "A 55686-2023")</f>
        <v/>
      </c>
      <c r="AC27">
        <f>HYPERLINK("https://klasma.github.io/Logging_1401/tillsyn/A 55686-2023 tillsynsbegäran.docx", "A 55686-2023")</f>
        <v/>
      </c>
      <c r="AD27">
        <f>HYPERLINK("https://klasma.github.io/Logging_1401/tillsynsmail/A 55686-2023 tillsynsbegäran mail.docx", "A 55686-2023")</f>
        <v/>
      </c>
      <c r="AE27">
        <f>HYPERLINK("https://klasma.github.io/Logging_1401/fåglar/A 55686-2023 prioriterade fågelarter.docx", "A 55686-2023")</f>
        <v/>
      </c>
    </row>
    <row r="28" ht="15" customHeight="1">
      <c r="A28" t="inlineStr">
        <is>
          <t>A 23492-2026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46310</v>
      </c>
      <c r="F28" t="inlineStr">
        <is>
          <t>VÄSTRA GÖTALANDS LÄN</t>
        </is>
      </c>
      <c r="G28" t="inlineStr">
        <is>
          <t>HÄRRYDA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23492-2026 artfynd.xlsx", "A 23492-2026")</f>
        <v/>
      </c>
      <c r="X28">
        <f>HYPERLINK("https://klasma.github.io/Logging_1401/kartor/A 23492-2026 karta.png", "A 23492-2026")</f>
        <v/>
      </c>
      <c r="Y28">
        <f>HYPERLINK("https://klasma.github.io/Logging_1401/kartor_geotiff/A 23492-2026 georefererad karta.tif", "A 23492-2026")</f>
        <v/>
      </c>
      <c r="AA28">
        <f>HYPERLINK("https://klasma.github.io/Logging_1401/klagomål/A 23492-2026 FSC-klagomål.docx", "A 23492-2026")</f>
        <v/>
      </c>
      <c r="AB28">
        <f>HYPERLINK("https://klasma.github.io/Logging_1401/klagomålsmail/A 23492-2026 FSC-klagomål mail.docx", "A 23492-2026")</f>
        <v/>
      </c>
      <c r="AC28">
        <f>HYPERLINK("https://klasma.github.io/Logging_1401/tillsyn/A 23492-2026 tillsynsbegäran.docx", "A 23492-2026")</f>
        <v/>
      </c>
      <c r="AD28">
        <f>HYPERLINK("https://klasma.github.io/Logging_1401/tillsynsmail/A 23492-2026 tillsynsbegäran mail.docx", "A 23492-2026")</f>
        <v/>
      </c>
    </row>
    <row r="29" ht="15" customHeight="1">
      <c r="A29" t="inlineStr">
        <is>
          <t>A 21398-2023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45063</v>
      </c>
      <c r="E29" s="1" t="n">
        <v>46310</v>
      </c>
      <c r="F29" t="inlineStr">
        <is>
          <t>VÄSTRA GÖTALANDS LÄN</t>
        </is>
      </c>
      <c r="G29" t="inlineStr">
        <is>
          <t>HÄRRYDA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21398-2023 artfynd.xlsx", "A 21398-2023")</f>
        <v/>
      </c>
      <c r="X29">
        <f>HYPERLINK("https://klasma.github.io/Logging_1401/kartor/A 21398-2023 karta.png", "A 21398-2023")</f>
        <v/>
      </c>
      <c r="Y29">
        <f>HYPERLINK("https://klasma.github.io/Logging_1401/kartor_geotiff/A 21398-2023 georefererad karta.tif", "A 21398-2023")</f>
        <v/>
      </c>
      <c r="AA29">
        <f>HYPERLINK("https://klasma.github.io/Logging_1401/klagomål/A 21398-2023 FSC-klagomål.docx", "A 21398-2023")</f>
        <v/>
      </c>
      <c r="AB29">
        <f>HYPERLINK("https://klasma.github.io/Logging_1401/klagomålsmail/A 21398-2023 FSC-klagomål mail.docx", "A 21398-2023")</f>
        <v/>
      </c>
      <c r="AC29">
        <f>HYPERLINK("https://klasma.github.io/Logging_1401/tillsyn/A 21398-2023 tillsynsbegäran.docx", "A 21398-2023")</f>
        <v/>
      </c>
      <c r="AD29">
        <f>HYPERLINK("https://klasma.github.io/Logging_1401/tillsynsmail/A 21398-2023 tillsynsbegäran mail.docx", "A 21398-2023")</f>
        <v/>
      </c>
    </row>
    <row r="30" ht="15" customHeight="1">
      <c r="A30" t="inlineStr">
        <is>
          <t>A 47362-2024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45587</v>
      </c>
      <c r="E30" s="1" t="n">
        <v>46310</v>
      </c>
      <c r="F30" t="inlineStr">
        <is>
          <t>VÄSTRA GÖTALANDS LÄN</t>
        </is>
      </c>
      <c r="G30" t="inlineStr">
        <is>
          <t>HÄRRYDA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47362-2024 artfynd.xlsx", "A 47362-2024")</f>
        <v/>
      </c>
      <c r="X30">
        <f>HYPERLINK("https://klasma.github.io/Logging_1401/kartor/A 47362-2024 karta.png", "A 47362-2024")</f>
        <v/>
      </c>
      <c r="Y30">
        <f>HYPERLINK("https://klasma.github.io/Logging_1401/kartor_geotiff/A 47362-2024 georefererad karta.tif", "A 47362-2024")</f>
        <v/>
      </c>
      <c r="AA30">
        <f>HYPERLINK("https://klasma.github.io/Logging_1401/klagomål/A 47362-2024 FSC-klagomål.docx", "A 47362-2024")</f>
        <v/>
      </c>
      <c r="AB30">
        <f>HYPERLINK("https://klasma.github.io/Logging_1401/klagomålsmail/A 47362-2024 FSC-klagomål mail.docx", "A 47362-2024")</f>
        <v/>
      </c>
      <c r="AC30">
        <f>HYPERLINK("https://klasma.github.io/Logging_1401/tillsyn/A 47362-2024 tillsynsbegäran.docx", "A 47362-2024")</f>
        <v/>
      </c>
      <c r="AD30">
        <f>HYPERLINK("https://klasma.github.io/Logging_1401/tillsynsmail/A 47362-2024 tillsynsbegäran mail.docx", "A 47362-2024")</f>
        <v/>
      </c>
    </row>
    <row r="31" ht="15" customHeight="1">
      <c r="A31" t="inlineStr">
        <is>
          <t>A 52164-2023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46310</v>
      </c>
      <c r="F31" t="inlineStr">
        <is>
          <t>VÄSTRA GÖTALANDS LÄN</t>
        </is>
      </c>
      <c r="G31" t="inlineStr">
        <is>
          <t>HÄRRYDA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Klippfrullania</t>
        </is>
      </c>
      <c r="W31">
        <f>HYPERLINK("https://klasma.github.io/Logging_1401/artfynd/A 52164-2023 artfynd.xlsx", "A 52164-2023")</f>
        <v/>
      </c>
      <c r="X31">
        <f>HYPERLINK("https://klasma.github.io/Logging_1401/kartor/A 52164-2023 karta.png", "A 52164-2023")</f>
        <v/>
      </c>
      <c r="Y31">
        <f>HYPERLINK("https://klasma.github.io/Logging_1401/kartor_geotiff/A 52164-2023 georefererad karta.tif", "A 52164-2023")</f>
        <v/>
      </c>
      <c r="AA31">
        <f>HYPERLINK("https://klasma.github.io/Logging_1401/klagomål/A 52164-2023 FSC-klagomål.docx", "A 52164-2023")</f>
        <v/>
      </c>
      <c r="AB31">
        <f>HYPERLINK("https://klasma.github.io/Logging_1401/klagomålsmail/A 52164-2023 FSC-klagomål mail.docx", "A 52164-2023")</f>
        <v/>
      </c>
      <c r="AC31">
        <f>HYPERLINK("https://klasma.github.io/Logging_1401/tillsyn/A 52164-2023 tillsynsbegäran.docx", "A 52164-2023")</f>
        <v/>
      </c>
      <c r="AD31">
        <f>HYPERLINK("https://klasma.github.io/Logging_1401/tillsynsmail/A 52164-2023 tillsynsbegäran mail.docx", "A 52164-2023")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46310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46310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46310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46310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46310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46310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46310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46310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46310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46310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24542-2025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46310</v>
      </c>
      <c r="F42" t="inlineStr">
        <is>
          <t>VÄSTRA GÖTALANDS LÄN</t>
        </is>
      </c>
      <c r="G42" t="inlineStr">
        <is>
          <t>HÄRRYDA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47350-2024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46310</v>
      </c>
      <c r="F43" t="inlineStr">
        <is>
          <t>VÄSTRA GÖTALANDS LÄN</t>
        </is>
      </c>
      <c r="G43" t="inlineStr">
        <is>
          <t>HÄRRYDA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71648-2021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46310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46310</v>
      </c>
      <c r="F45" t="inlineStr">
        <is>
          <t>VÄSTRA GÖTALANDS LÄN</t>
        </is>
      </c>
      <c r="G45" t="inlineStr">
        <is>
          <t>HÄRRYDA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19782-2022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44694</v>
      </c>
      <c r="E46" s="1" t="n">
        <v>46310</v>
      </c>
      <c r="F46" t="inlineStr">
        <is>
          <t>VÄSTRA GÖTALANDS LÄN</t>
        </is>
      </c>
      <c r="G46" t="inlineStr">
        <is>
          <t>HÄRRYDA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46310</v>
      </c>
      <c r="F47" t="inlineStr">
        <is>
          <t>VÄSTRA GÖTALANDS LÄN</t>
        </is>
      </c>
      <c r="G47" t="inlineStr">
        <is>
          <t>HÄRRYDA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46310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46310</v>
      </c>
      <c r="F49" t="inlineStr">
        <is>
          <t>VÄSTRA GÖTALANDS LÄN</t>
        </is>
      </c>
      <c r="G49" t="inlineStr">
        <is>
          <t>HÄRRYDA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46310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45336</v>
      </c>
      <c r="E51" s="1" t="n">
        <v>46310</v>
      </c>
      <c r="F51" t="inlineStr">
        <is>
          <t>VÄSTRA GÖTALANDS LÄN</t>
        </is>
      </c>
      <c r="G51" t="inlineStr">
        <is>
          <t>HÄRRYDA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44826</v>
      </c>
      <c r="E52" s="1" t="n">
        <v>46310</v>
      </c>
      <c r="F52" t="inlineStr">
        <is>
          <t>VÄSTRA GÖTALANDS LÄN</t>
        </is>
      </c>
      <c r="G52" t="inlineStr">
        <is>
          <t>HÄRRYDA</t>
        </is>
      </c>
      <c r="I52" t="n">
        <v>11.5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46310</v>
      </c>
      <c r="F53" t="inlineStr">
        <is>
          <t>VÄSTRA GÖTALANDS LÄN</t>
        </is>
      </c>
      <c r="G53" t="inlineStr">
        <is>
          <t>HÄRRYDA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46310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46310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45651</v>
      </c>
      <c r="E56" s="1" t="n">
        <v>46310</v>
      </c>
      <c r="F56" t="inlineStr">
        <is>
          <t>VÄSTRA GÖTALANDS LÄN</t>
        </is>
      </c>
      <c r="G56" t="inlineStr">
        <is>
          <t>HÄRRYDA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46310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46310</v>
      </c>
      <c r="F58" t="inlineStr">
        <is>
          <t>VÄSTRA GÖTALANDS LÄN</t>
        </is>
      </c>
      <c r="G58" t="inlineStr">
        <is>
          <t>HÄRRYDA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46310</v>
      </c>
      <c r="F59" t="inlineStr">
        <is>
          <t>VÄSTRA GÖTALANDS LÄN</t>
        </is>
      </c>
      <c r="G59" t="inlineStr">
        <is>
          <t>HÄRRYDA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46310</v>
      </c>
      <c r="F60" t="inlineStr">
        <is>
          <t>VÄSTRA GÖTALANDS LÄN</t>
        </is>
      </c>
      <c r="G60" t="inlineStr">
        <is>
          <t>HÄRRYDA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46310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46310</v>
      </c>
      <c r="F62" t="inlineStr">
        <is>
          <t>VÄSTRA GÖTALANDS LÄN</t>
        </is>
      </c>
      <c r="G62" t="inlineStr">
        <is>
          <t>HÄRRYDA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46310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46310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46310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46310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46310</v>
      </c>
      <c r="F67" t="inlineStr">
        <is>
          <t>VÄSTRA GÖTALANDS LÄN</t>
        </is>
      </c>
      <c r="G67" t="inlineStr">
        <is>
          <t>HÄRRYDA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46310</v>
      </c>
      <c r="F68" t="inlineStr">
        <is>
          <t>VÄSTRA GÖTALANDS LÄN</t>
        </is>
      </c>
      <c r="G68" t="inlineStr">
        <is>
          <t>HÄRRYDA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46310</v>
      </c>
      <c r="F69" t="inlineStr">
        <is>
          <t>VÄSTRA GÖTALANDS LÄN</t>
        </is>
      </c>
      <c r="G69" t="inlineStr">
        <is>
          <t>HÄRRYDA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46310</v>
      </c>
      <c r="F70" t="inlineStr">
        <is>
          <t>VÄSTRA GÖTALANDS LÄN</t>
        </is>
      </c>
      <c r="G70" t="inlineStr">
        <is>
          <t>HÄRRYDA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46310</v>
      </c>
      <c r="F71" t="inlineStr">
        <is>
          <t>VÄSTRA GÖTALANDS LÄN</t>
        </is>
      </c>
      <c r="G71" t="inlineStr">
        <is>
          <t>HÄRRYDA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46310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15401-2026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46106</v>
      </c>
      <c r="E73" s="1" t="n">
        <v>46310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46310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46310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15698-2026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46310</v>
      </c>
      <c r="F76" t="inlineStr">
        <is>
          <t>VÄSTRA GÖTALANDS LÄN</t>
        </is>
      </c>
      <c r="G76" t="inlineStr">
        <is>
          <t>HÄRRYDA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46310</v>
      </c>
      <c r="F77" t="inlineStr">
        <is>
          <t>VÄSTRA GÖTALANDS LÄN</t>
        </is>
      </c>
      <c r="G77" t="inlineStr">
        <is>
          <t>HÄRRYDA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46310</v>
      </c>
      <c r="F78" t="inlineStr">
        <is>
          <t>VÄSTRA GÖTALANDS LÄN</t>
        </is>
      </c>
      <c r="G78" t="inlineStr">
        <is>
          <t>HÄRRYDA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46310</v>
      </c>
      <c r="F79" t="inlineStr">
        <is>
          <t>VÄSTRA GÖTALANDS LÄN</t>
        </is>
      </c>
      <c r="G79" t="inlineStr">
        <is>
          <t>HÄRRYDA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46310</v>
      </c>
      <c r="F80" t="inlineStr">
        <is>
          <t>VÄSTRA GÖTALANDS LÄN</t>
        </is>
      </c>
      <c r="G80" t="inlineStr">
        <is>
          <t>HÄRRYDA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46310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46310</v>
      </c>
      <c r="F82" t="inlineStr">
        <is>
          <t>VÄSTRA GÖTALANDS LÄN</t>
        </is>
      </c>
      <c r="G82" t="inlineStr">
        <is>
          <t>HÄRRYDA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69563-2021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46310</v>
      </c>
      <c r="F83" t="inlineStr">
        <is>
          <t>VÄSTRA GÖTALANDS LÄN</t>
        </is>
      </c>
      <c r="G83" t="inlineStr">
        <is>
          <t>HÄRRYDA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60432-2022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44911</v>
      </c>
      <c r="E84" s="1" t="n">
        <v>46310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46310</v>
      </c>
      <c r="F85" t="inlineStr">
        <is>
          <t>VÄSTRA GÖTALANDS LÄN</t>
        </is>
      </c>
      <c r="G85" t="inlineStr">
        <is>
          <t>HÄRRYDA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46310</v>
      </c>
      <c r="F86" t="inlineStr">
        <is>
          <t>VÄSTRA GÖTALANDS LÄN</t>
        </is>
      </c>
      <c r="G86" t="inlineStr">
        <is>
          <t>HÄRRYDA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44733</v>
      </c>
      <c r="E87" s="1" t="n">
        <v>46310</v>
      </c>
      <c r="F87" t="inlineStr">
        <is>
          <t>VÄSTRA GÖTALANDS LÄN</t>
        </is>
      </c>
      <c r="G87" t="inlineStr">
        <is>
          <t>HÄRRYDA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45704</v>
      </c>
      <c r="E88" s="1" t="n">
        <v>46310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46310</v>
      </c>
      <c r="F89" t="inlineStr">
        <is>
          <t>VÄSTRA GÖTALANDS LÄN</t>
        </is>
      </c>
      <c r="G89" t="inlineStr">
        <is>
          <t>HÄRRYDA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46310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46310</v>
      </c>
      <c r="F91" t="inlineStr">
        <is>
          <t>VÄSTRA GÖTALANDS LÄN</t>
        </is>
      </c>
      <c r="G91" t="inlineStr">
        <is>
          <t>HÄRRYDA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46310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46310</v>
      </c>
      <c r="F93" t="inlineStr">
        <is>
          <t>VÄSTRA GÖTALANDS LÄN</t>
        </is>
      </c>
      <c r="G93" t="inlineStr">
        <is>
          <t>HÄRRYDA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46310</v>
      </c>
      <c r="F94" t="inlineStr">
        <is>
          <t>VÄSTRA GÖTALANDS LÄN</t>
        </is>
      </c>
      <c r="G94" t="inlineStr">
        <is>
          <t>HÄRRYDA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72891-2021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46310</v>
      </c>
      <c r="F95" t="inlineStr">
        <is>
          <t>VÄSTRA GÖTALANDS LÄN</t>
        </is>
      </c>
      <c r="G95" t="inlineStr">
        <is>
          <t>HÄRRYDA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46310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46310</v>
      </c>
      <c r="F97" t="inlineStr">
        <is>
          <t>VÄSTRA GÖTALANDS LÄN</t>
        </is>
      </c>
      <c r="G97" t="inlineStr">
        <is>
          <t>HÄRRYDA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46310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46310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46310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44721</v>
      </c>
      <c r="E101" s="1" t="n">
        <v>46310</v>
      </c>
      <c r="F101" t="inlineStr">
        <is>
          <t>VÄSTRA GÖTALANDS LÄN</t>
        </is>
      </c>
      <c r="G101" t="inlineStr">
        <is>
          <t>HÄRRYDA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46310</v>
      </c>
      <c r="F102" t="inlineStr">
        <is>
          <t>VÄSTRA GÖTALANDS LÄN</t>
        </is>
      </c>
      <c r="G102" t="inlineStr">
        <is>
          <t>HÄRRYDA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46310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46310</v>
      </c>
      <c r="F104" t="inlineStr">
        <is>
          <t>VÄSTRA GÖTALANDS LÄN</t>
        </is>
      </c>
      <c r="G104" t="inlineStr">
        <is>
          <t>HÄRRYDA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46310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46310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46310</v>
      </c>
      <c r="F107" t="inlineStr">
        <is>
          <t>VÄSTRA GÖTALANDS LÄN</t>
        </is>
      </c>
      <c r="G107" t="inlineStr">
        <is>
          <t>HÄRRYDA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46310</v>
      </c>
      <c r="F108" t="inlineStr">
        <is>
          <t>VÄSTRA GÖTALANDS LÄN</t>
        </is>
      </c>
      <c r="G108" t="inlineStr">
        <is>
          <t>HÄRRYDA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46310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46310</v>
      </c>
      <c r="F110" t="inlineStr">
        <is>
          <t>VÄSTRA GÖTALANDS LÄN</t>
        </is>
      </c>
      <c r="G110" t="inlineStr">
        <is>
          <t>HÄRRYDA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46310</v>
      </c>
      <c r="F111" t="inlineStr">
        <is>
          <t>VÄSTRA GÖTALANDS LÄN</t>
        </is>
      </c>
      <c r="G111" t="inlineStr">
        <is>
          <t>HÄRRYDA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45140</v>
      </c>
      <c r="E112" s="1" t="n">
        <v>46310</v>
      </c>
      <c r="F112" t="inlineStr">
        <is>
          <t>VÄSTRA GÖTALANDS LÄN</t>
        </is>
      </c>
      <c r="G112" t="inlineStr">
        <is>
          <t>HÄRRYDA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46310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65080-2023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45287</v>
      </c>
      <c r="E114" s="1" t="n">
        <v>46310</v>
      </c>
      <c r="F114" t="inlineStr">
        <is>
          <t>VÄSTRA GÖTALANDS LÄN</t>
        </is>
      </c>
      <c r="G114" t="inlineStr">
        <is>
          <t>HÄRRYDA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46310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46212</v>
      </c>
      <c r="E116" s="1" t="n">
        <v>46310</v>
      </c>
      <c r="F116" t="inlineStr">
        <is>
          <t>VÄSTRA GÖTALANDS LÄN</t>
        </is>
      </c>
      <c r="G116" t="inlineStr">
        <is>
          <t>HÄRRYDA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46310</v>
      </c>
      <c r="F117" t="inlineStr">
        <is>
          <t>VÄSTRA GÖTALANDS LÄN</t>
        </is>
      </c>
      <c r="G117" t="inlineStr">
        <is>
          <t>HÄRRYDA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46223</v>
      </c>
      <c r="E118" s="1" t="n">
        <v>46310</v>
      </c>
      <c r="F118" t="inlineStr">
        <is>
          <t>VÄSTRA GÖTALANDS LÄN</t>
        </is>
      </c>
      <c r="G118" t="inlineStr">
        <is>
          <t>HÄRRYDA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46225</v>
      </c>
      <c r="E119" s="1" t="n">
        <v>46310</v>
      </c>
      <c r="F119" t="inlineStr">
        <is>
          <t>VÄSTRA GÖTALANDS LÄN</t>
        </is>
      </c>
      <c r="G119" t="inlineStr">
        <is>
          <t>HÄRRYDA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46310</v>
      </c>
      <c r="F120" t="inlineStr">
        <is>
          <t>VÄSTRA GÖTALANDS LÄN</t>
        </is>
      </c>
      <c r="G120" t="inlineStr">
        <is>
          <t>HÄRRYDA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46310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36502-2026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46269</v>
      </c>
      <c r="E122" s="1" t="n">
        <v>46310</v>
      </c>
      <c r="F122" t="inlineStr">
        <is>
          <t>VÄSTRA GÖTALANDS LÄN</t>
        </is>
      </c>
      <c r="G122" t="inlineStr">
        <is>
          <t>HÄRRYDA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46310</v>
      </c>
      <c r="F123" t="inlineStr">
        <is>
          <t>VÄSTRA GÖTALANDS LÄN</t>
        </is>
      </c>
      <c r="G123" t="inlineStr">
        <is>
          <t>HÄRRYDA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45237</v>
      </c>
      <c r="E124" s="1" t="n">
        <v>46310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46238</v>
      </c>
      <c r="E125" s="1" t="n">
        <v>46310</v>
      </c>
      <c r="F125" t="inlineStr">
        <is>
          <t>VÄSTRA GÖTALANDS LÄN</t>
        </is>
      </c>
      <c r="G125" t="inlineStr">
        <is>
          <t>HÄRRYDA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46310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46310</v>
      </c>
      <c r="F127" t="inlineStr">
        <is>
          <t>VÄSTRA GÖTALANDS LÄN</t>
        </is>
      </c>
      <c r="G127" t="inlineStr">
        <is>
          <t>HÄRRYDA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46310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46310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46310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46310</v>
      </c>
      <c r="F131" t="inlineStr">
        <is>
          <t>VÄSTRA GÖTALANDS LÄN</t>
        </is>
      </c>
      <c r="G131" t="inlineStr">
        <is>
          <t>HÄRRYDA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46310</v>
      </c>
      <c r="F132" t="inlineStr">
        <is>
          <t>VÄSTRA GÖTALANDS LÄN</t>
        </is>
      </c>
      <c r="G132" t="inlineStr">
        <is>
          <t>HÄRRYDA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46310</v>
      </c>
      <c r="F133" t="inlineStr">
        <is>
          <t>VÄSTRA GÖTALANDS LÄN</t>
        </is>
      </c>
      <c r="G133" t="inlineStr">
        <is>
          <t>HÄRRYDA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46295</v>
      </c>
      <c r="E134" s="1" t="n">
        <v>46310</v>
      </c>
      <c r="F134" t="inlineStr">
        <is>
          <t>VÄSTRA GÖTALANDS LÄN</t>
        </is>
      </c>
      <c r="G134" t="inlineStr">
        <is>
          <t>HÄRRYDA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46296</v>
      </c>
      <c r="E135" s="1" t="n">
        <v>46310</v>
      </c>
      <c r="F135" t="inlineStr">
        <is>
          <t>VÄSTRA GÖTALANDS LÄN</t>
        </is>
      </c>
      <c r="G135" t="inlineStr">
        <is>
          <t>HÄRRYDA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46310</v>
      </c>
      <c r="F136" t="inlineStr">
        <is>
          <t>VÄSTRA GÖTALANDS LÄN</t>
        </is>
      </c>
      <c r="G136" t="inlineStr">
        <is>
          <t>HÄRRYDA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46310</v>
      </c>
      <c r="F137" t="inlineStr">
        <is>
          <t>VÄSTRA GÖTALANDS LÄN</t>
        </is>
      </c>
      <c r="G137" t="inlineStr">
        <is>
          <t>HÄRRYDA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46310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46310</v>
      </c>
      <c r="F139" t="inlineStr">
        <is>
          <t>VÄSTRA GÖTALANDS LÄN</t>
        </is>
      </c>
      <c r="G139" t="inlineStr">
        <is>
          <t>HÄRRYDA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46310</v>
      </c>
      <c r="F140" t="inlineStr">
        <is>
          <t>VÄSTRA GÖTALANDS LÄN</t>
        </is>
      </c>
      <c r="G140" t="inlineStr">
        <is>
          <t>HÄRRYDA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46306</v>
      </c>
      <c r="E141" s="1" t="n">
        <v>46310</v>
      </c>
      <c r="F141" t="inlineStr">
        <is>
          <t>VÄSTRA GÖTALANDS LÄN</t>
        </is>
      </c>
      <c r="G141" t="inlineStr">
        <is>
          <t>HÄRRYDA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45785</v>
      </c>
      <c r="E142" s="1" t="n">
        <v>46310</v>
      </c>
      <c r="F142" t="inlineStr">
        <is>
          <t>VÄSTRA GÖTALANDS LÄN</t>
        </is>
      </c>
      <c r="G142" t="inlineStr">
        <is>
          <t>HÄRRYDA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42481-2026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46308</v>
      </c>
      <c r="E143" s="1" t="n">
        <v>46310</v>
      </c>
      <c r="F143" t="inlineStr">
        <is>
          <t>VÄSTRA GÖTALANDS LÄN</t>
        </is>
      </c>
      <c r="G143" t="inlineStr">
        <is>
          <t>HÄRRYDA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46309</v>
      </c>
      <c r="E144" s="1" t="n">
        <v>46310</v>
      </c>
      <c r="F144" t="inlineStr">
        <is>
          <t>VÄSTRA GÖTALANDS LÄN</t>
        </is>
      </c>
      <c r="G144" t="inlineStr">
        <is>
          <t>HÄRRYDA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42820-2026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46309</v>
      </c>
      <c r="E145" s="1" t="n">
        <v>46310</v>
      </c>
      <c r="F145" t="inlineStr">
        <is>
          <t>VÄSTRA GÖTALANDS LÄN</t>
        </is>
      </c>
      <c r="G145" t="inlineStr">
        <is>
          <t>HÄRRYDA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2026-10-15T02:04:20Z</dcterms:created>
  <dcterms:modified xmlns:dcterms="http://purl.org/dc/terms/" xmlns:xsi="http://www.w3.org/2001/XMLSchema-instance" xsi:type="dcterms:W3CDTF">2026-10-15T02:04:20Z</dcterms:modified>
</cp:coreProperties>
</file>