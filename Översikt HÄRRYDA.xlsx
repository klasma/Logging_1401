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46314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46314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46314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46314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46314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46314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46314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46314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46314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9491-2025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46314</v>
      </c>
      <c r="F19" t="inlineStr">
        <is>
          <t>VÄSTRA GÖTALANDS LÄN</t>
        </is>
      </c>
      <c r="G19" t="inlineStr">
        <is>
          <t>HÄRRYDA</t>
        </is>
      </c>
      <c r="I19" t="n">
        <v>1.5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9491-2025 artfynd.xlsx", "A 9491-2025")</f>
        <v/>
      </c>
      <c r="X19">
        <f>HYPERLINK("https://klasma.github.io/Logging_1401/kartor/A 9491-2025 karta.png", "A 9491-2025")</f>
        <v/>
      </c>
      <c r="Y19">
        <f>HYPERLINK("https://klasma.github.io/Logging_1401/kartor_geotiff/A 9491-2025 georefererad karta.tif", "A 9491-2025")</f>
        <v/>
      </c>
      <c r="AA19">
        <f>HYPERLINK("https://klasma.github.io/Logging_1401/klagomål/A 9491-2025 FSC-klagomål.docx", "A 9491-2025")</f>
        <v/>
      </c>
      <c r="AB19">
        <f>HYPERLINK("https://klasma.github.io/Logging_1401/klagomålsmail/A 9491-2025 FSC-klagomål mail.docx", "A 9491-2025")</f>
        <v/>
      </c>
      <c r="AC19">
        <f>HYPERLINK("https://klasma.github.io/Logging_1401/tillsyn/A 9491-2025 tillsynsbegäran.docx", "A 9491-2025")</f>
        <v/>
      </c>
      <c r="AD19">
        <f>HYPERLINK("https://klasma.github.io/Logging_1401/tillsynsmail/A 9491-2025 tillsynsbegäran mail.docx", "A 9491-2025")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46314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46314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46314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46314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46314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46314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46314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46314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46314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46314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46314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27482-2025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46314</v>
      </c>
      <c r="F31" t="inlineStr">
        <is>
          <t>VÄSTRA GÖTALANDS LÄN</t>
        </is>
      </c>
      <c r="G31" t="inlineStr">
        <is>
          <t>HÄRRYDA</t>
        </is>
      </c>
      <c r="I31" t="n">
        <v>14.1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Kortskaftad ärgspik</t>
        </is>
      </c>
      <c r="W31">
        <f>HYPERLINK("https://klasma.github.io/Logging_1401/artfynd/A 27482-2025 artfynd.xlsx", "A 27482-2025")</f>
        <v/>
      </c>
      <c r="X31">
        <f>HYPERLINK("https://klasma.github.io/Logging_1401/kartor/A 27482-2025 karta.png", "A 27482-2025")</f>
        <v/>
      </c>
      <c r="Y31">
        <f>HYPERLINK("https://klasma.github.io/Logging_1401/kartor_geotiff/A 27482-2025 georefererad karta.tif", "A 27482-2025")</f>
        <v/>
      </c>
      <c r="AA31">
        <f>HYPERLINK("https://klasma.github.io/Logging_1401/klagomål/A 27482-2025 FSC-klagomål.docx", "A 27482-2025")</f>
        <v/>
      </c>
      <c r="AB31">
        <f>HYPERLINK("https://klasma.github.io/Logging_1401/klagomålsmail/A 27482-2025 FSC-klagomål mail.docx", "A 27482-2025")</f>
        <v/>
      </c>
      <c r="AC31">
        <f>HYPERLINK("https://klasma.github.io/Logging_1401/tillsyn/A 27482-2025 tillsynsbegäran.docx", "A 27482-2025")</f>
        <v/>
      </c>
      <c r="AD31">
        <f>HYPERLINK("https://klasma.github.io/Logging_1401/tillsynsmail/A 27482-2025 tillsynsbegäran mail.docx", "A 27482-2025")</f>
        <v/>
      </c>
    </row>
    <row r="32" ht="15" customHeight="1">
      <c r="A32" t="inlineStr">
        <is>
          <t>A 14259-2025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46314</v>
      </c>
      <c r="F32" t="inlineStr">
        <is>
          <t>VÄSTRA GÖTALANDS LÄN</t>
        </is>
      </c>
      <c r="G32" t="inlineStr">
        <is>
          <t>HÄRRYDA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HYPERLINK("https://klasma.github.io/Logging_1401/artfynd/A 14259-2025 artfynd.xlsx", "A 14259-2025")</f>
        <v/>
      </c>
      <c r="X32">
        <f>HYPERLINK("https://klasma.github.io/Logging_1401/kartor/A 14259-2025 karta.png", "A 14259-2025")</f>
        <v/>
      </c>
      <c r="Y32">
        <f>HYPERLINK("https://klasma.github.io/Logging_1401/kartor_geotiff/A 14259-2025 georefererad karta.tif", "A 14259-2025")</f>
        <v/>
      </c>
      <c r="AA32">
        <f>HYPERLINK("https://klasma.github.io/Logging_1401/klagomål/A 14259-2025 FSC-klagomål.docx", "A 14259-2025")</f>
        <v/>
      </c>
      <c r="AB32">
        <f>HYPERLINK("https://klasma.github.io/Logging_1401/klagomålsmail/A 14259-2025 FSC-klagomål mail.docx", "A 14259-2025")</f>
        <v/>
      </c>
      <c r="AC32">
        <f>HYPERLINK("https://klasma.github.io/Logging_1401/tillsyn/A 14259-2025 tillsynsbegäran.docx", "A 14259-2025")</f>
        <v/>
      </c>
      <c r="AD32">
        <f>HYPERLINK("https://klasma.github.io/Logging_1401/tillsynsmail/A 14259-2025 tillsynsbegäran mail.docx", "A 14259-2025")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46314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46314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46314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46314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46314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46314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46314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46314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46314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46314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46314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46314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46314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46314</v>
      </c>
      <c r="F47" t="inlineStr">
        <is>
          <t>VÄSTRA GÖTALANDS LÄN</t>
        </is>
      </c>
      <c r="G47" t="inlineStr">
        <is>
          <t>HÄRRYDA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46314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46314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46314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46314</v>
      </c>
      <c r="F51" t="inlineStr">
        <is>
          <t>VÄSTRA GÖTALANDS LÄN</t>
        </is>
      </c>
      <c r="G51" t="inlineStr">
        <is>
          <t>HÄRRYDA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46314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46314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46314</v>
      </c>
      <c r="F54" t="inlineStr">
        <is>
          <t>VÄSTRA GÖTALANDS LÄN</t>
        </is>
      </c>
      <c r="G54" t="inlineStr">
        <is>
          <t>HÄRRYDA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46314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46314</v>
      </c>
      <c r="F56" t="inlineStr">
        <is>
          <t>VÄSTRA GÖTALANDS LÄN</t>
        </is>
      </c>
      <c r="G56" t="inlineStr">
        <is>
          <t>HÄRRYDA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46314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46314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46314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46314</v>
      </c>
      <c r="F60" t="inlineStr">
        <is>
          <t>VÄSTRA GÖTALANDS LÄN</t>
        </is>
      </c>
      <c r="G60" t="inlineStr">
        <is>
          <t>HÄRRYDA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46314</v>
      </c>
      <c r="F61" t="inlineStr">
        <is>
          <t>VÄSTRA GÖTALANDS LÄN</t>
        </is>
      </c>
      <c r="G61" t="inlineStr">
        <is>
          <t>HÄRRYDA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46314</v>
      </c>
      <c r="F62" t="inlineStr">
        <is>
          <t>VÄSTRA GÖTALANDS LÄN</t>
        </is>
      </c>
      <c r="G62" t="inlineStr">
        <is>
          <t>HÄRRYDA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46314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46314</v>
      </c>
      <c r="F64" t="inlineStr">
        <is>
          <t>VÄSTRA GÖTALANDS LÄN</t>
        </is>
      </c>
      <c r="G64" t="inlineStr">
        <is>
          <t>HÄRRYDA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46314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46314</v>
      </c>
      <c r="F66" t="inlineStr">
        <is>
          <t>VÄSTRA GÖTALANDS LÄN</t>
        </is>
      </c>
      <c r="G66" t="inlineStr">
        <is>
          <t>HÄRRYDA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46314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46314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46314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46314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46314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46314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46314</v>
      </c>
      <c r="F73" t="inlineStr">
        <is>
          <t>VÄSTRA GÖTALANDS LÄN</t>
        </is>
      </c>
      <c r="G73" t="inlineStr">
        <is>
          <t>HÄRRYDA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46314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46314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46314</v>
      </c>
      <c r="F76" t="inlineStr">
        <is>
          <t>VÄSTRA GÖTALANDS LÄN</t>
        </is>
      </c>
      <c r="G76" t="inlineStr">
        <is>
          <t>HÄRRYDA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46314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46314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46314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46314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46314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46314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46314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46314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46314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46314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46314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46314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46314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46314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46314</v>
      </c>
      <c r="F91" t="inlineStr">
        <is>
          <t>VÄSTRA GÖTALANDS LÄN</t>
        </is>
      </c>
      <c r="G91" t="inlineStr">
        <is>
          <t>HÄRRYDA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46314</v>
      </c>
      <c r="F92" t="inlineStr">
        <is>
          <t>VÄSTRA GÖTALANDS LÄN</t>
        </is>
      </c>
      <c r="G92" t="inlineStr">
        <is>
          <t>HÄRRYDA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44732</v>
      </c>
      <c r="E93" s="1" t="n">
        <v>46314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46314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46314</v>
      </c>
      <c r="F95" t="inlineStr">
        <is>
          <t>VÄSTRA GÖTALANDS LÄN</t>
        </is>
      </c>
      <c r="G95" t="inlineStr">
        <is>
          <t>HÄRRYDA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46314</v>
      </c>
      <c r="F96" t="inlineStr">
        <is>
          <t>VÄSTRA GÖTALANDS LÄN</t>
        </is>
      </c>
      <c r="G96" t="inlineStr">
        <is>
          <t>HÄRRYDA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45313</v>
      </c>
      <c r="E97" s="1" t="n">
        <v>46314</v>
      </c>
      <c r="F97" t="inlineStr">
        <is>
          <t>VÄSTRA GÖTALANDS LÄN</t>
        </is>
      </c>
      <c r="G97" t="inlineStr">
        <is>
          <t>HÄRRYDA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46098</v>
      </c>
      <c r="E98" s="1" t="n">
        <v>46314</v>
      </c>
      <c r="F98" t="inlineStr">
        <is>
          <t>VÄSTRA GÖTALANDS LÄN</t>
        </is>
      </c>
      <c r="G98" t="inlineStr">
        <is>
          <t>HÄRRYDA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45705</v>
      </c>
      <c r="E99" s="1" t="n">
        <v>46314</v>
      </c>
      <c r="F99" t="inlineStr">
        <is>
          <t>VÄSTRA GÖTALANDS LÄN</t>
        </is>
      </c>
      <c r="G99" t="inlineStr">
        <is>
          <t>HÄRRYDA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46314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46314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46314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46314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46314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46314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46314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46314</v>
      </c>
      <c r="F107" t="inlineStr">
        <is>
          <t>VÄSTRA GÖTALANDS LÄN</t>
        </is>
      </c>
      <c r="G107" t="inlineStr">
        <is>
          <t>HÄRRYDA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46314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46314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46314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46314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46314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45237</v>
      </c>
      <c r="E113" s="1" t="n">
        <v>46314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46314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46314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46314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46314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46314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46314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46314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46314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46314</v>
      </c>
      <c r="F122" t="inlineStr">
        <is>
          <t>VÄSTRA GÖTALANDS LÄN</t>
        </is>
      </c>
      <c r="G122" t="inlineStr">
        <is>
          <t>HÄRRYDA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46314</v>
      </c>
      <c r="F123" t="inlineStr">
        <is>
          <t>VÄSTRA GÖTALANDS LÄN</t>
        </is>
      </c>
      <c r="G123" t="inlineStr">
        <is>
          <t>HÄRRYDA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46314</v>
      </c>
      <c r="F124" t="inlineStr">
        <is>
          <t>VÄSTRA GÖTALANDS LÄN</t>
        </is>
      </c>
      <c r="G124" t="inlineStr">
        <is>
          <t>HÄRRYDA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46314</v>
      </c>
      <c r="F125" t="inlineStr">
        <is>
          <t>VÄSTRA GÖTALANDS LÄN</t>
        </is>
      </c>
      <c r="G125" t="inlineStr">
        <is>
          <t>HÄRRYDA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46314</v>
      </c>
      <c r="F126" t="inlineStr">
        <is>
          <t>VÄSTRA GÖTALANDS LÄN</t>
        </is>
      </c>
      <c r="G126" t="inlineStr">
        <is>
          <t>HÄRRYDA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46295</v>
      </c>
      <c r="E127" s="1" t="n">
        <v>46314</v>
      </c>
      <c r="F127" t="inlineStr">
        <is>
          <t>VÄSTRA GÖTALANDS LÄN</t>
        </is>
      </c>
      <c r="G127" t="inlineStr">
        <is>
          <t>HÄRRYDA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46296</v>
      </c>
      <c r="E128" s="1" t="n">
        <v>46314</v>
      </c>
      <c r="F128" t="inlineStr">
        <is>
          <t>VÄSTRA GÖTALANDS LÄN</t>
        </is>
      </c>
      <c r="G128" t="inlineStr">
        <is>
          <t>HÄRRYDA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46314</v>
      </c>
      <c r="F129" t="inlineStr">
        <is>
          <t>VÄSTRA GÖTALANDS LÄN</t>
        </is>
      </c>
      <c r="G129" t="inlineStr">
        <is>
          <t>HÄRRYDA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46314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46302</v>
      </c>
      <c r="E131" s="1" t="n">
        <v>46314</v>
      </c>
      <c r="F131" t="inlineStr">
        <is>
          <t>VÄSTRA GÖTALANDS LÄN</t>
        </is>
      </c>
      <c r="G131" t="inlineStr">
        <is>
          <t>HÄRRYDA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46314</v>
      </c>
      <c r="F132" t="inlineStr">
        <is>
          <t>VÄSTRA GÖTALANDS LÄN</t>
        </is>
      </c>
      <c r="G132" t="inlineStr">
        <is>
          <t>HÄRRYDA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46314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46306</v>
      </c>
      <c r="E134" s="1" t="n">
        <v>46314</v>
      </c>
      <c r="F134" t="inlineStr">
        <is>
          <t>VÄSTRA GÖTALANDS LÄN</t>
        </is>
      </c>
      <c r="G134" t="inlineStr">
        <is>
          <t>HÄRRYDA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46314</v>
      </c>
      <c r="F135" t="inlineStr">
        <is>
          <t>VÄSTRA GÖTALANDS LÄN</t>
        </is>
      </c>
      <c r="G135" t="inlineStr">
        <is>
          <t>HÄRRYDA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46308</v>
      </c>
      <c r="E136" s="1" t="n">
        <v>46314</v>
      </c>
      <c r="F136" t="inlineStr">
        <is>
          <t>VÄSTRA GÖTALANDS LÄN</t>
        </is>
      </c>
      <c r="G136" t="inlineStr">
        <is>
          <t>HÄRRYDA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46309</v>
      </c>
      <c r="E137" s="1" t="n">
        <v>46314</v>
      </c>
      <c r="F137" t="inlineStr">
        <is>
          <t>VÄSTRA GÖTALANDS LÄN</t>
        </is>
      </c>
      <c r="G137" t="inlineStr">
        <is>
          <t>HÄRRYDA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46309</v>
      </c>
      <c r="E138" s="1" t="n">
        <v>46314</v>
      </c>
      <c r="F138" t="inlineStr">
        <is>
          <t>VÄSTRA GÖTALANDS LÄN</t>
        </is>
      </c>
      <c r="G138" t="inlineStr">
        <is>
          <t>HÄRRYDA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46314</v>
      </c>
      <c r="F139" t="inlineStr">
        <is>
          <t>VÄSTRA GÖTALANDS LÄN</t>
        </is>
      </c>
      <c r="G139" t="inlineStr">
        <is>
          <t>HÄRRYDA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46314</v>
      </c>
      <c r="F140" t="inlineStr">
        <is>
          <t>VÄSTRA GÖTALANDS LÄN</t>
        </is>
      </c>
      <c r="G140" t="inlineStr">
        <is>
          <t>HÄRRYDA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46314</v>
      </c>
      <c r="F141" t="inlineStr">
        <is>
          <t>VÄSTRA GÖTALANDS LÄN</t>
        </is>
      </c>
      <c r="G141" t="inlineStr">
        <is>
          <t>HÄRRYDA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46314</v>
      </c>
      <c r="F142" t="inlineStr">
        <is>
          <t>VÄSTRA GÖTALANDS LÄN</t>
        </is>
      </c>
      <c r="G142" t="inlineStr">
        <is>
          <t>HÄRRYDA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46314</v>
      </c>
      <c r="F143" t="inlineStr">
        <is>
          <t>VÄSTRA GÖTALANDS LÄN</t>
        </is>
      </c>
      <c r="G143" t="inlineStr">
        <is>
          <t>HÄRRYDA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46314</v>
      </c>
      <c r="F144" t="inlineStr">
        <is>
          <t>VÄSTRA GÖTALANDS LÄN</t>
        </is>
      </c>
      <c r="G144" t="inlineStr">
        <is>
          <t>HÄRRYDA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4433-2025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45686</v>
      </c>
      <c r="E145" s="1" t="n">
        <v>46314</v>
      </c>
      <c r="F145" t="inlineStr">
        <is>
          <t>VÄSTRA GÖTALANDS LÄN</t>
        </is>
      </c>
      <c r="G145" t="inlineStr">
        <is>
          <t>HÄRRYDA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2026-10-19T02:03:32Z</dcterms:created>
  <dcterms:modified xmlns:dcterms="http://purl.org/dc/terms/" xmlns:xsi="http://www.w3.org/2001/XMLSchema-instance" xsi:type="dcterms:W3CDTF">2026-10-19T02:03:33Z</dcterms:modified>
</cp:coreProperties>
</file>