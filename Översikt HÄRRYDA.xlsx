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46081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46081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46081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46081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46081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46081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46081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13586-2025</t>
        </is>
      </c>
      <c r="B18" s="1" t="n">
        <v>45736.59434027778</v>
      </c>
      <c r="C18" s="1" t="n">
        <v>46081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13586-2025 artfynd.xlsx", "A 13586-2025")</f>
        <v/>
      </c>
      <c r="T18">
        <f>HYPERLINK("https://klasma.github.io/Logging_1401/kartor/A 13586-2025 karta.png", "A 13586-2025")</f>
        <v/>
      </c>
      <c r="V18">
        <f>HYPERLINK("https://klasma.github.io/Logging_1401/klagomål/A 13586-2025 FSC-klagomål.docx", "A 13586-2025")</f>
        <v/>
      </c>
      <c r="W18">
        <f>HYPERLINK("https://klasma.github.io/Logging_1401/klagomålsmail/A 13586-2025 FSC-klagomål mail.docx", "A 13586-2025")</f>
        <v/>
      </c>
      <c r="X18">
        <f>HYPERLINK("https://klasma.github.io/Logging_1401/tillsyn/A 13586-2025 tillsynsbegäran.docx", "A 13586-2025")</f>
        <v/>
      </c>
      <c r="Y18">
        <f>HYPERLINK("https://klasma.github.io/Logging_1401/tillsynsmail/A 13586-2025 tillsynsbegäran mail.docx", "A 13586-2025")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46081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46081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46081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46081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46081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46081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46081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46081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46081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46081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46081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46081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46081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46081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46081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46081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46081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46081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46081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46081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46081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46081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46081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46081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46081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46081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46081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46081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12091-2024</t>
        </is>
      </c>
      <c r="B47" s="1" t="n">
        <v>45377.56653935185</v>
      </c>
      <c r="C47" s="1" t="n">
        <v>46081</v>
      </c>
      <c r="D47" t="inlineStr">
        <is>
          <t>VÄSTRA GÖTALANDS LÄN</t>
        </is>
      </c>
      <c r="E47" t="inlineStr">
        <is>
          <t>HÄRRYDA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46081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14183-2024</t>
        </is>
      </c>
      <c r="B49" s="1" t="n">
        <v>45393.34479166667</v>
      </c>
      <c r="C49" s="1" t="n">
        <v>46081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51127-2023</t>
        </is>
      </c>
      <c r="B50" s="1" t="n">
        <v>45219</v>
      </c>
      <c r="C50" s="1" t="n">
        <v>46081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51130-2023</t>
        </is>
      </c>
      <c r="B51" s="1" t="n">
        <v>45219</v>
      </c>
      <c r="C51" s="1" t="n">
        <v>46081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46081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46081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46081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26992-2025</t>
        </is>
      </c>
      <c r="B55" s="1" t="n">
        <v>45811.52253472222</v>
      </c>
      <c r="C55" s="1" t="n">
        <v>46081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39676-2025</t>
        </is>
      </c>
      <c r="B56" s="1" t="n">
        <v>45890.64989583333</v>
      </c>
      <c r="C56" s="1" t="n">
        <v>46081</v>
      </c>
      <c r="D56" t="inlineStr">
        <is>
          <t>VÄSTRA GÖTALANDS LÄN</t>
        </is>
      </c>
      <c r="E56" t="inlineStr">
        <is>
          <t>HÄRRYDA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46081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46081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46081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46081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40281-2025</t>
        </is>
      </c>
      <c r="B61" s="1" t="n">
        <v>45895.36684027778</v>
      </c>
      <c r="C61" s="1" t="n">
        <v>46081</v>
      </c>
      <c r="D61" t="inlineStr">
        <is>
          <t>VÄSTRA GÖTALANDS LÄN</t>
        </is>
      </c>
      <c r="E61" t="inlineStr">
        <is>
          <t>HÄRRYDA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40273-2025</t>
        </is>
      </c>
      <c r="B62" s="1" t="n">
        <v>45895.34994212963</v>
      </c>
      <c r="C62" s="1" t="n">
        <v>46081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46081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46081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46081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13454-2024</t>
        </is>
      </c>
      <c r="B66" s="1" t="n">
        <v>45387.51503472222</v>
      </c>
      <c r="C66" s="1" t="n">
        <v>46081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47362-2024</t>
        </is>
      </c>
      <c r="B67" s="1" t="n">
        <v>45587.4371875</v>
      </c>
      <c r="C67" s="1" t="n">
        <v>46081</v>
      </c>
      <c r="D67" t="inlineStr">
        <is>
          <t>VÄSTRA GÖTALANDS LÄN</t>
        </is>
      </c>
      <c r="E67" t="inlineStr">
        <is>
          <t>HÄRRYDA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9491-2025</t>
        </is>
      </c>
      <c r="B68" s="1" t="n">
        <v>45715.4965162037</v>
      </c>
      <c r="C68" s="1" t="n">
        <v>46081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46081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46081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46081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40053-2023</t>
        </is>
      </c>
      <c r="B72" s="1" t="n">
        <v>45168.72297453704</v>
      </c>
      <c r="C72" s="1" t="n">
        <v>46081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5630-2023</t>
        </is>
      </c>
      <c r="B73" s="1" t="n">
        <v>44960</v>
      </c>
      <c r="C73" s="1" t="n">
        <v>46081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46081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25439-2022</t>
        </is>
      </c>
      <c r="B75" s="1" t="n">
        <v>44732.48712962963</v>
      </c>
      <c r="C75" s="1" t="n">
        <v>46081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46081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46081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35404-2025</t>
        </is>
      </c>
      <c r="B78" s="1" t="n">
        <v>45855.35253472222</v>
      </c>
      <c r="C78" s="1" t="n">
        <v>46081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17860-2021</t>
        </is>
      </c>
      <c r="B79" s="1" t="n">
        <v>44301.28643518518</v>
      </c>
      <c r="C79" s="1" t="n">
        <v>46081</v>
      </c>
      <c r="D79" t="inlineStr">
        <is>
          <t>VÄSTRA GÖTALANDS LÄN</t>
        </is>
      </c>
      <c r="E79" t="inlineStr">
        <is>
          <t>HÄRRYDA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46081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16509-2025</t>
        </is>
      </c>
      <c r="B81" s="1" t="n">
        <v>45751.61958333333</v>
      </c>
      <c r="C81" s="1" t="n">
        <v>46081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46081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13692-2021</t>
        </is>
      </c>
      <c r="B83" s="1" t="n">
        <v>44274</v>
      </c>
      <c r="C83" s="1" t="n">
        <v>46081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46081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46081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48538-2025</t>
        </is>
      </c>
      <c r="B86" s="1" t="n">
        <v>45936.41079861111</v>
      </c>
      <c r="C86" s="1" t="n">
        <v>46081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46081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4433-2025</t>
        </is>
      </c>
      <c r="B88" s="1" t="n">
        <v>45686.49392361111</v>
      </c>
      <c r="C88" s="1" t="n">
        <v>46081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46081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46081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45058.48152777777</v>
      </c>
      <c r="C91" s="1" t="n">
        <v>46081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17616-2025</t>
        </is>
      </c>
      <c r="B92" s="1" t="n">
        <v>45757.82684027778</v>
      </c>
      <c r="C92" s="1" t="n">
        <v>46081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51501-2025</t>
        </is>
      </c>
      <c r="B93" s="1" t="n">
        <v>45950.63748842593</v>
      </c>
      <c r="C93" s="1" t="n">
        <v>46081</v>
      </c>
      <c r="D93" t="inlineStr">
        <is>
          <t>VÄSTRA GÖTALANDS LÄN</t>
        </is>
      </c>
      <c r="E93" t="inlineStr">
        <is>
          <t>HÄRRYDA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51009-2025</t>
        </is>
      </c>
      <c r="B94" s="1" t="n">
        <v>45947.37550925926</v>
      </c>
      <c r="C94" s="1" t="n">
        <v>46081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46081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21800-2023</t>
        </is>
      </c>
      <c r="B96" s="1" t="n">
        <v>45067.85023148148</v>
      </c>
      <c r="C96" s="1" t="n">
        <v>46081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34665-2023</t>
        </is>
      </c>
      <c r="B97" s="1" t="n">
        <v>45140.81900462963</v>
      </c>
      <c r="C97" s="1" t="n">
        <v>46081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55273-2025</t>
        </is>
      </c>
      <c r="B98" s="1" t="n">
        <v>45968.69956018519</v>
      </c>
      <c r="C98" s="1" t="n">
        <v>46081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55274-2025</t>
        </is>
      </c>
      <c r="B99" s="1" t="n">
        <v>45968.70364583333</v>
      </c>
      <c r="C99" s="1" t="n">
        <v>46081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69563-2021</t>
        </is>
      </c>
      <c r="B100" s="1" t="n">
        <v>44532</v>
      </c>
      <c r="C100" s="1" t="n">
        <v>46081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18001-2025</t>
        </is>
      </c>
      <c r="B101" s="1" t="n">
        <v>45761.41210648148</v>
      </c>
      <c r="C101" s="1" t="n">
        <v>46081</v>
      </c>
      <c r="D101" t="inlineStr">
        <is>
          <t>VÄSTRA GÖTALANDS LÄN</t>
        </is>
      </c>
      <c r="E101" t="inlineStr">
        <is>
          <t>HÄRRYDA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41457-2023</t>
        </is>
      </c>
      <c r="B102" s="1" t="n">
        <v>45175</v>
      </c>
      <c r="C102" s="1" t="n">
        <v>46081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63592-2021</t>
        </is>
      </c>
      <c r="B103" s="1" t="n">
        <v>44508</v>
      </c>
      <c r="C103" s="1" t="n">
        <v>46081</v>
      </c>
      <c r="D103" t="inlineStr">
        <is>
          <t>VÄSTRA GÖTALANDS LÄN</t>
        </is>
      </c>
      <c r="E103" t="inlineStr">
        <is>
          <t>HÄRRYDA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2946-2024</t>
        </is>
      </c>
      <c r="B104" s="1" t="n">
        <v>45315</v>
      </c>
      <c r="C104" s="1" t="n">
        <v>46081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15480-2025</t>
        </is>
      </c>
      <c r="B105" s="1" t="n">
        <v>45747.55828703703</v>
      </c>
      <c r="C105" s="1" t="n">
        <v>46081</v>
      </c>
      <c r="D105" t="inlineStr">
        <is>
          <t>VÄSTRA GÖTALANDS LÄN</t>
        </is>
      </c>
      <c r="E105" t="inlineStr">
        <is>
          <t>HÄRRYDA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46081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46081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46081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46081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46081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46081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46081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29697-2023</t>
        </is>
      </c>
      <c r="B113" s="1" t="n">
        <v>45107</v>
      </c>
      <c r="C113" s="1" t="n">
        <v>46081</v>
      </c>
      <c r="D113" t="inlineStr">
        <is>
          <t>VÄSTRA GÖTALANDS LÄN</t>
        </is>
      </c>
      <c r="E113" t="inlineStr">
        <is>
          <t>HÄRRYDA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23492-2022</t>
        </is>
      </c>
      <c r="B114" s="1" t="n">
        <v>44721.36030092592</v>
      </c>
      <c r="C114" s="1" t="n">
        <v>46081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39761-2023</t>
        </is>
      </c>
      <c r="B115" s="1" t="n">
        <v>45167.71447916667</v>
      </c>
      <c r="C115" s="1" t="n">
        <v>46081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46081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46081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46081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46081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9494-2025</t>
        </is>
      </c>
      <c r="B120" s="1" t="n">
        <v>45715.503125</v>
      </c>
      <c r="C120" s="1" t="n">
        <v>46081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18003-2025</t>
        </is>
      </c>
      <c r="B121" s="1" t="n">
        <v>45761.41628472223</v>
      </c>
      <c r="C121" s="1" t="n">
        <v>46081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65080-2023</t>
        </is>
      </c>
      <c r="B122" s="1" t="n">
        <v>45287</v>
      </c>
      <c r="C122" s="1" t="n">
        <v>46081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46081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1807-2024</t>
        </is>
      </c>
      <c r="B124" s="1" t="n">
        <v>45307.59741898148</v>
      </c>
      <c r="C124" s="1" t="n">
        <v>46081</v>
      </c>
      <c r="D124" t="inlineStr">
        <is>
          <t>VÄSTRA GÖTALANDS LÄN</t>
        </is>
      </c>
      <c r="E124" t="inlineStr">
        <is>
          <t>HÄRRYDA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16435-2025</t>
        </is>
      </c>
      <c r="B125" s="1" t="n">
        <v>45751.48401620371</v>
      </c>
      <c r="C125" s="1" t="n">
        <v>46081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59711-2022</t>
        </is>
      </c>
      <c r="B126" s="1" t="n">
        <v>44908.40974537037</v>
      </c>
      <c r="C126" s="1" t="n">
        <v>46081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13582-2025</t>
        </is>
      </c>
      <c r="B127" s="1" t="n">
        <v>45736.59074074074</v>
      </c>
      <c r="C127" s="1" t="n">
        <v>46081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39762-2023</t>
        </is>
      </c>
      <c r="B128" s="1" t="n">
        <v>45167.71539351852</v>
      </c>
      <c r="C128" s="1" t="n">
        <v>46081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61874-2024</t>
        </is>
      </c>
      <c r="B129" s="1" t="n">
        <v>45651.93527777777</v>
      </c>
      <c r="C129" s="1" t="n">
        <v>46081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9785-2026</t>
        </is>
      </c>
      <c r="B130" s="1" t="n">
        <v>46072.59296296296</v>
      </c>
      <c r="C130" s="1" t="n">
        <v>46081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46081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46081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46081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46081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46081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46081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46081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46081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46081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46081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46081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46081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46081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46081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46081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46081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46081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46081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51154-2023</t>
        </is>
      </c>
      <c r="B149" s="1" t="n">
        <v>45219</v>
      </c>
      <c r="C149" s="1" t="n">
        <v>46081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46081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46081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46081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46081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46081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46081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24542-2025</t>
        </is>
      </c>
      <c r="B156" s="1" t="n">
        <v>45798.44365740741</v>
      </c>
      <c r="C156" s="1" t="n">
        <v>46081</v>
      </c>
      <c r="D156" t="inlineStr">
        <is>
          <t>VÄSTRA GÖTALANDS LÄN</t>
        </is>
      </c>
      <c r="E156" t="inlineStr">
        <is>
          <t>HÄRRYDA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2026-02-28T11:08:09Z</dcterms:created>
  <dcterms:modified xmlns:dcterms="http://purl.org/dc/terms/" xmlns:xsi="http://www.w3.org/2001/XMLSchema-instance" xsi:type="dcterms:W3CDTF">2026-02-28T11:08:09Z</dcterms:modified>
</cp:coreProperties>
</file>