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46288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46288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46288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46288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46288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46288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46288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46288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46288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46288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46288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46288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46288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34938-2022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46288</v>
      </c>
      <c r="F15" t="inlineStr">
        <is>
          <t>VÄSTRA GÖTALANDS LÄN</t>
        </is>
      </c>
      <c r="G15" t="inlineStr">
        <is>
          <t>HÄRRYDA</t>
        </is>
      </c>
      <c r="I15" t="n">
        <v>2.3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Igelkott
Revlummer</t>
        </is>
      </c>
      <c r="W15">
        <f>HYPERLINK("https://klasma.github.io/Logging_1401/artfynd/A 34938-2022 artfynd.xlsx", "A 34938-2022")</f>
        <v/>
      </c>
      <c r="X15">
        <f>HYPERLINK("https://klasma.github.io/Logging_1401/kartor/A 34938-2022 karta.png", "A 34938-2022")</f>
        <v/>
      </c>
      <c r="Y15">
        <f>HYPERLINK("https://klasma.github.io/Logging_1401/kartor_geotiff/A 34938-2022 georefererad karta.tif", "A 34938-2022")</f>
        <v/>
      </c>
      <c r="AA15">
        <f>HYPERLINK("https://klasma.github.io/Logging_1401/klagomål/A 34938-2022 FSC-klagomål.docx", "A 34938-2022")</f>
        <v/>
      </c>
      <c r="AB15">
        <f>HYPERLINK("https://klasma.github.io/Logging_1401/klagomålsmail/A 34938-2022 FSC-klagomål mail.docx", "A 34938-2022")</f>
        <v/>
      </c>
      <c r="AC15">
        <f>HYPERLINK("https://klasma.github.io/Logging_1401/tillsyn/A 34938-2022 tillsynsbegäran.docx", "A 34938-2022")</f>
        <v/>
      </c>
      <c r="AD15">
        <f>HYPERLINK("https://klasma.github.io/Logging_1401/tillsynsmail/A 34938-2022 tillsynsbegäran mail.docx", "A 34938-2022")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46288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46288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46288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46288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46288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46288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46288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46288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46288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21398-2023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45063</v>
      </c>
      <c r="E25" s="1" t="n">
        <v>46288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21398-2023 artfynd.xlsx", "A 21398-2023")</f>
        <v/>
      </c>
      <c r="X25">
        <f>HYPERLINK("https://klasma.github.io/Logging_1401/kartor/A 21398-2023 karta.png", "A 21398-2023")</f>
        <v/>
      </c>
      <c r="Y25">
        <f>HYPERLINK("https://klasma.github.io/Logging_1401/kartor_geotiff/A 21398-2023 georefererad karta.tif", "A 21398-2023")</f>
        <v/>
      </c>
      <c r="AA25">
        <f>HYPERLINK("https://klasma.github.io/Logging_1401/klagomål/A 21398-2023 FSC-klagomål.docx", "A 21398-2023")</f>
        <v/>
      </c>
      <c r="AB25">
        <f>HYPERLINK("https://klasma.github.io/Logging_1401/klagomålsmail/A 21398-2023 FSC-klagomål mail.docx", "A 21398-2023")</f>
        <v/>
      </c>
      <c r="AC25">
        <f>HYPERLINK("https://klasma.github.io/Logging_1401/tillsyn/A 21398-2023 tillsynsbegäran.docx", "A 21398-2023")</f>
        <v/>
      </c>
      <c r="AD25">
        <f>HYPERLINK("https://klasma.github.io/Logging_1401/tillsynsmail/A 21398-2023 tillsynsbegäran mail.docx", "A 21398-2023")</f>
        <v/>
      </c>
    </row>
    <row r="26" ht="15" customHeight="1">
      <c r="A26" t="inlineStr">
        <is>
          <t>A 47362-2024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46288</v>
      </c>
      <c r="F26" t="inlineStr">
        <is>
          <t>VÄSTRA GÖTALANDS LÄN</t>
        </is>
      </c>
      <c r="G26" t="inlineStr">
        <is>
          <t>HÄRRYDA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47362-2024 artfynd.xlsx", "A 47362-2024")</f>
        <v/>
      </c>
      <c r="X26">
        <f>HYPERLINK("https://klasma.github.io/Logging_1401/kartor/A 47362-2024 karta.png", "A 47362-2024")</f>
        <v/>
      </c>
      <c r="Y26">
        <f>HYPERLINK("https://klasma.github.io/Logging_1401/kartor_geotiff/A 47362-2024 georefererad karta.tif", "A 47362-2024")</f>
        <v/>
      </c>
      <c r="AA26">
        <f>HYPERLINK("https://klasma.github.io/Logging_1401/klagomål/A 47362-2024 FSC-klagomål.docx", "A 47362-2024")</f>
        <v/>
      </c>
      <c r="AB26">
        <f>HYPERLINK("https://klasma.github.io/Logging_1401/klagomålsmail/A 47362-2024 FSC-klagomål mail.docx", "A 47362-2024")</f>
        <v/>
      </c>
      <c r="AC26">
        <f>HYPERLINK("https://klasma.github.io/Logging_1401/tillsyn/A 47362-2024 tillsynsbegäran.docx", "A 47362-2024")</f>
        <v/>
      </c>
      <c r="AD26">
        <f>HYPERLINK("https://klasma.github.io/Logging_1401/tillsynsmail/A 47362-2024 tillsynsbegäran mail.docx", "A 47362-2024")</f>
        <v/>
      </c>
    </row>
    <row r="27" ht="15" customHeight="1">
      <c r="A27" t="inlineStr">
        <is>
          <t>A 52164-2023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46288</v>
      </c>
      <c r="F27" t="inlineStr">
        <is>
          <t>VÄSTRA GÖTALANDS LÄN</t>
        </is>
      </c>
      <c r="G27" t="inlineStr">
        <is>
          <t>HÄRRYDA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Klippfrullania</t>
        </is>
      </c>
      <c r="W27">
        <f>HYPERLINK("https://klasma.github.io/Logging_1401/artfynd/A 52164-2023 artfynd.xlsx", "A 52164-2023")</f>
        <v/>
      </c>
      <c r="X27">
        <f>HYPERLINK("https://klasma.github.io/Logging_1401/kartor/A 52164-2023 karta.png", "A 52164-2023")</f>
        <v/>
      </c>
      <c r="Y27">
        <f>HYPERLINK("https://klasma.github.io/Logging_1401/kartor_geotiff/A 52164-2023 georefererad karta.tif", "A 52164-2023")</f>
        <v/>
      </c>
      <c r="AA27">
        <f>HYPERLINK("https://klasma.github.io/Logging_1401/klagomål/A 52164-2023 FSC-klagomål.docx", "A 52164-2023")</f>
        <v/>
      </c>
      <c r="AB27">
        <f>HYPERLINK("https://klasma.github.io/Logging_1401/klagomålsmail/A 52164-2023 FSC-klagomål mail.docx", "A 52164-2023")</f>
        <v/>
      </c>
      <c r="AC27">
        <f>HYPERLINK("https://klasma.github.io/Logging_1401/tillsyn/A 52164-2023 tillsynsbegäran.docx", "A 52164-2023")</f>
        <v/>
      </c>
      <c r="AD27">
        <f>HYPERLINK("https://klasma.github.io/Logging_1401/tillsynsmail/A 52164-2023 tillsynsbegäran mail.docx", "A 52164-2023")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46288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46288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46288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46288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46288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46288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46288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46288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46288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46288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46288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46288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46288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46288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46288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46288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46288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46288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46288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46288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46288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40053-2023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46288</v>
      </c>
      <c r="F49" t="inlineStr">
        <is>
          <t>VÄSTRA GÖTALANDS LÄN</t>
        </is>
      </c>
      <c r="G49" t="inlineStr">
        <is>
          <t>HÄRRYDA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13108-2023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45002</v>
      </c>
      <c r="E50" s="1" t="n">
        <v>46288</v>
      </c>
      <c r="F50" t="inlineStr">
        <is>
          <t>VÄSTRA GÖTALANDS LÄN</t>
        </is>
      </c>
      <c r="G50" t="inlineStr">
        <is>
          <t>HÄRRYDA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46288</v>
      </c>
      <c r="F51" t="inlineStr">
        <is>
          <t>VÄSTRA GÖTALANDS LÄN</t>
        </is>
      </c>
      <c r="G51" t="inlineStr">
        <is>
          <t>HÄRRYDA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29697-2023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46288</v>
      </c>
      <c r="F52" t="inlineStr">
        <is>
          <t>VÄSTRA GÖTALANDS LÄN</t>
        </is>
      </c>
      <c r="G52" t="inlineStr">
        <is>
          <t>HÄRRYDA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1551-2022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44573</v>
      </c>
      <c r="E53" s="1" t="n">
        <v>46288</v>
      </c>
      <c r="F53" t="inlineStr">
        <is>
          <t>VÄSTRA GÖTALANDS LÄN</t>
        </is>
      </c>
      <c r="G53" t="inlineStr">
        <is>
          <t>HÄRRYDA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44911</v>
      </c>
      <c r="E54" s="1" t="n">
        <v>46288</v>
      </c>
      <c r="F54" t="inlineStr">
        <is>
          <t>VÄSTRA GÖTALANDS LÄN</t>
        </is>
      </c>
      <c r="G54" t="inlineStr">
        <is>
          <t>HÄRRYDA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45686</v>
      </c>
      <c r="E55" s="1" t="n">
        <v>46288</v>
      </c>
      <c r="F55" t="inlineStr">
        <is>
          <t>VÄSTRA GÖTALANDS LÄN</t>
        </is>
      </c>
      <c r="G55" t="inlineStr">
        <is>
          <t>HÄRRYDA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40306-2025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46288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40273-2025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45895</v>
      </c>
      <c r="E57" s="1" t="n">
        <v>46288</v>
      </c>
      <c r="F57" t="inlineStr">
        <is>
          <t>VÄSTRA GÖTALANDS LÄN</t>
        </is>
      </c>
      <c r="G57" t="inlineStr">
        <is>
          <t>HÄRRYDA</t>
        </is>
      </c>
      <c r="H57" t="inlineStr">
        <is>
          <t>Sveaskog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45754</v>
      </c>
      <c r="E58" s="1" t="n">
        <v>46288</v>
      </c>
      <c r="F58" t="inlineStr">
        <is>
          <t>VÄSTRA GÖTALANDS LÄN</t>
        </is>
      </c>
      <c r="G58" t="inlineStr">
        <is>
          <t>HÄRRYDA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15480-2025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45747</v>
      </c>
      <c r="E59" s="1" t="n">
        <v>46288</v>
      </c>
      <c r="F59" t="inlineStr">
        <is>
          <t>VÄSTRA GÖTALANDS LÄN</t>
        </is>
      </c>
      <c r="G59" t="inlineStr">
        <is>
          <t>HÄRRYDA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46002</v>
      </c>
      <c r="E60" s="1" t="n">
        <v>46288</v>
      </c>
      <c r="F60" t="inlineStr">
        <is>
          <t>VÄSTRA GÖTALANDS LÄN</t>
        </is>
      </c>
      <c r="G60" t="inlineStr">
        <is>
          <t>HÄRRYDA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46288</v>
      </c>
      <c r="F61" t="inlineStr">
        <is>
          <t>VÄSTRA GÖTALANDS LÄN</t>
        </is>
      </c>
      <c r="G61" t="inlineStr">
        <is>
          <t>HÄRRYDA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61741-2025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46288</v>
      </c>
      <c r="F62" t="inlineStr">
        <is>
          <t>VÄSTRA GÖTALANDS LÄN</t>
        </is>
      </c>
      <c r="G62" t="inlineStr">
        <is>
          <t>HÄRRYDA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45012</v>
      </c>
      <c r="E63" s="1" t="n">
        <v>46288</v>
      </c>
      <c r="F63" t="inlineStr">
        <is>
          <t>VÄSTRA GÖTALANDS LÄN</t>
        </is>
      </c>
      <c r="G63" t="inlineStr">
        <is>
          <t>HÄRRYDA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45925</v>
      </c>
      <c r="E64" s="1" t="n">
        <v>46288</v>
      </c>
      <c r="F64" t="inlineStr">
        <is>
          <t>VÄSTRA GÖTALANDS LÄN</t>
        </is>
      </c>
      <c r="G64" t="inlineStr">
        <is>
          <t>HÄRRYDA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44547</v>
      </c>
      <c r="E65" s="1" t="n">
        <v>46288</v>
      </c>
      <c r="F65" t="inlineStr">
        <is>
          <t>VÄSTRA GÖTALANDS LÄN</t>
        </is>
      </c>
      <c r="G65" t="inlineStr">
        <is>
          <t>HÄRRYDA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45936</v>
      </c>
      <c r="E66" s="1" t="n">
        <v>46288</v>
      </c>
      <c r="F66" t="inlineStr">
        <is>
          <t>VÄSTRA GÖTALANDS LÄN</t>
        </is>
      </c>
      <c r="G66" t="inlineStr">
        <is>
          <t>HÄRRYDA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45935</v>
      </c>
      <c r="E67" s="1" t="n">
        <v>46288</v>
      </c>
      <c r="F67" t="inlineStr">
        <is>
          <t>VÄSTRA GÖTALANDS LÄN</t>
        </is>
      </c>
      <c r="G67" t="inlineStr">
        <is>
          <t>HÄRRYDA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45934</v>
      </c>
      <c r="E68" s="1" t="n">
        <v>46288</v>
      </c>
      <c r="F68" t="inlineStr">
        <is>
          <t>VÄSTRA GÖTALANDS LÄN</t>
        </is>
      </c>
      <c r="G68" t="inlineStr">
        <is>
          <t>HÄRRYDA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45107</v>
      </c>
      <c r="E69" s="1" t="n">
        <v>46288</v>
      </c>
      <c r="F69" t="inlineStr">
        <is>
          <t>VÄSTRA GÖTALANDS LÄN</t>
        </is>
      </c>
      <c r="G69" t="inlineStr">
        <is>
          <t>HÄRRYDA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46288</v>
      </c>
      <c r="F70" t="inlineStr">
        <is>
          <t>VÄSTRA GÖTALANDS LÄN</t>
        </is>
      </c>
      <c r="G70" t="inlineStr">
        <is>
          <t>HÄRRYDA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45587</v>
      </c>
      <c r="E71" s="1" t="n">
        <v>46288</v>
      </c>
      <c r="F71" t="inlineStr">
        <is>
          <t>VÄSTRA GÖTALANDS LÄN</t>
        </is>
      </c>
      <c r="G71" t="inlineStr">
        <is>
          <t>HÄRRYDA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45336</v>
      </c>
      <c r="E72" s="1" t="n">
        <v>46288</v>
      </c>
      <c r="F72" t="inlineStr">
        <is>
          <t>VÄSTRA GÖTALANDS LÄN</t>
        </is>
      </c>
      <c r="G72" t="inlineStr">
        <is>
          <t>HÄRRYDA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55273-2025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46288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46288</v>
      </c>
      <c r="F74" t="inlineStr">
        <is>
          <t>VÄSTRA GÖTALANDS LÄN</t>
        </is>
      </c>
      <c r="G74" t="inlineStr">
        <is>
          <t>HÄRRYDA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9785-2026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46288</v>
      </c>
      <c r="F75" t="inlineStr">
        <is>
          <t>VÄSTRA GÖTALANDS LÄN</t>
        </is>
      </c>
      <c r="G75" t="inlineStr">
        <is>
          <t>HÄRRYDA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45167</v>
      </c>
      <c r="E76" s="1" t="n">
        <v>46288</v>
      </c>
      <c r="F76" t="inlineStr">
        <is>
          <t>VÄSTRA GÖTALANDS LÄN</t>
        </is>
      </c>
      <c r="G76" t="inlineStr">
        <is>
          <t>HÄRRYDA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45994</v>
      </c>
      <c r="E77" s="1" t="n">
        <v>46288</v>
      </c>
      <c r="F77" t="inlineStr">
        <is>
          <t>VÄSTRA GÖTALANDS LÄN</t>
        </is>
      </c>
      <c r="G77" t="inlineStr">
        <is>
          <t>HÄRRYDA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39762-2023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45167</v>
      </c>
      <c r="E78" s="1" t="n">
        <v>46288</v>
      </c>
      <c r="F78" t="inlineStr">
        <is>
          <t>VÄSTRA GÖTALANDS LÄN</t>
        </is>
      </c>
      <c r="G78" t="inlineStr">
        <is>
          <t>HÄRRYDA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52043-2024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46288</v>
      </c>
      <c r="F79" t="inlineStr">
        <is>
          <t>VÄSTRA GÖTALANDS LÄN</t>
        </is>
      </c>
      <c r="G79" t="inlineStr">
        <is>
          <t>HÄRRYDA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45704</v>
      </c>
      <c r="E80" s="1" t="n">
        <v>46288</v>
      </c>
      <c r="F80" t="inlineStr">
        <is>
          <t>VÄSTRA GÖTALANDS LÄN</t>
        </is>
      </c>
      <c r="G80" t="inlineStr">
        <is>
          <t>HÄRRYDA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35404-2025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45855</v>
      </c>
      <c r="E81" s="1" t="n">
        <v>46288</v>
      </c>
      <c r="F81" t="inlineStr">
        <is>
          <t>VÄSTRA GÖTALANDS LÄN</t>
        </is>
      </c>
      <c r="G81" t="inlineStr">
        <is>
          <t>HÄRRYDA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45715</v>
      </c>
      <c r="E82" s="1" t="n">
        <v>46288</v>
      </c>
      <c r="F82" t="inlineStr">
        <is>
          <t>VÄSTRA GÖTALANDS LÄN</t>
        </is>
      </c>
      <c r="G82" t="inlineStr">
        <is>
          <t>HÄRRYDA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46288</v>
      </c>
      <c r="F83" t="inlineStr">
        <is>
          <t>VÄSTRA GÖTALANDS LÄN</t>
        </is>
      </c>
      <c r="G83" t="inlineStr">
        <is>
          <t>HÄRRYDA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46288</v>
      </c>
      <c r="F84" t="inlineStr">
        <is>
          <t>VÄSTRA GÖTALANDS LÄN</t>
        </is>
      </c>
      <c r="G84" t="inlineStr">
        <is>
          <t>HÄRRYDA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14183-2024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46288</v>
      </c>
      <c r="F85" t="inlineStr">
        <is>
          <t>VÄSTRA GÖTALANDS LÄN</t>
        </is>
      </c>
      <c r="G85" t="inlineStr">
        <is>
          <t>HÄRRYDA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45315</v>
      </c>
      <c r="E86" s="1" t="n">
        <v>46288</v>
      </c>
      <c r="F86" t="inlineStr">
        <is>
          <t>VÄSTRA GÖTALANDS LÄN</t>
        </is>
      </c>
      <c r="G86" t="inlineStr">
        <is>
          <t>HÄRRYDA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45324</v>
      </c>
      <c r="E87" s="1" t="n">
        <v>46288</v>
      </c>
      <c r="F87" t="inlineStr">
        <is>
          <t>VÄSTRA GÖTALANDS LÄN</t>
        </is>
      </c>
      <c r="G87" t="inlineStr">
        <is>
          <t>HÄRRYDA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46288</v>
      </c>
      <c r="F88" t="inlineStr">
        <is>
          <t>VÄSTRA GÖTALANDS LÄN</t>
        </is>
      </c>
      <c r="G88" t="inlineStr">
        <is>
          <t>HÄRRYDA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44721</v>
      </c>
      <c r="E89" s="1" t="n">
        <v>46288</v>
      </c>
      <c r="F89" t="inlineStr">
        <is>
          <t>VÄSTRA GÖTALANDS LÄN</t>
        </is>
      </c>
      <c r="G89" t="inlineStr">
        <is>
          <t>HÄRRYDA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64560-2023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46288</v>
      </c>
      <c r="F90" t="inlineStr">
        <is>
          <t>VÄSTRA GÖTALANDS LÄN</t>
        </is>
      </c>
      <c r="G90" t="inlineStr">
        <is>
          <t>HÄRRYDA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45321</v>
      </c>
      <c r="E91" s="1" t="n">
        <v>46288</v>
      </c>
      <c r="F91" t="inlineStr">
        <is>
          <t>VÄSTRA GÖTALANDS LÄN</t>
        </is>
      </c>
      <c r="G91" t="inlineStr">
        <is>
          <t>HÄRRYDA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45307</v>
      </c>
      <c r="E92" s="1" t="n">
        <v>46288</v>
      </c>
      <c r="F92" t="inlineStr">
        <is>
          <t>VÄSTRA GÖTALANDS LÄN</t>
        </is>
      </c>
      <c r="G92" t="inlineStr">
        <is>
          <t>HÄRRYDA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25439-2022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44732</v>
      </c>
      <c r="E93" s="1" t="n">
        <v>46288</v>
      </c>
      <c r="F93" t="inlineStr">
        <is>
          <t>VÄSTRA GÖTALANDS LÄN</t>
        </is>
      </c>
      <c r="G93" t="inlineStr">
        <is>
          <t>HÄRRYDA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46288</v>
      </c>
      <c r="F94" t="inlineStr">
        <is>
          <t>VÄSTRA GÖTALANDS LÄN</t>
        </is>
      </c>
      <c r="G94" t="inlineStr">
        <is>
          <t>HÄRRYDA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13951-2026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46098</v>
      </c>
      <c r="E95" s="1" t="n">
        <v>46288</v>
      </c>
      <c r="F95" t="inlineStr">
        <is>
          <t>VÄSTRA GÖTALANDS LÄN</t>
        </is>
      </c>
      <c r="G95" t="inlineStr">
        <is>
          <t>HÄRRYDA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45705</v>
      </c>
      <c r="E96" s="1" t="n">
        <v>46288</v>
      </c>
      <c r="F96" t="inlineStr">
        <is>
          <t>VÄSTRA GÖTALANDS LÄN</t>
        </is>
      </c>
      <c r="G96" t="inlineStr">
        <is>
          <t>HÄRRYDA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51127-2023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46288</v>
      </c>
      <c r="F97" t="inlineStr">
        <is>
          <t>VÄSTRA GÖTALANDS LÄN</t>
        </is>
      </c>
      <c r="G97" t="inlineStr">
        <is>
          <t>HÄRRYDA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46288</v>
      </c>
      <c r="F98" t="inlineStr">
        <is>
          <t>VÄSTRA GÖTALANDS LÄN</t>
        </is>
      </c>
      <c r="G98" t="inlineStr">
        <is>
          <t>HÄRRYDA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45313</v>
      </c>
      <c r="E99" s="1" t="n">
        <v>46288</v>
      </c>
      <c r="F99" t="inlineStr">
        <is>
          <t>VÄSTRA GÖTALANDS LÄN</t>
        </is>
      </c>
      <c r="G99" t="inlineStr">
        <is>
          <t>HÄRRYDA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15401-2026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46106</v>
      </c>
      <c r="E100" s="1" t="n">
        <v>46288</v>
      </c>
      <c r="F100" t="inlineStr">
        <is>
          <t>VÄSTRA GÖTALANDS LÄN</t>
        </is>
      </c>
      <c r="G100" t="inlineStr">
        <is>
          <t>HÄRRYDA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46107</v>
      </c>
      <c r="E101" s="1" t="n">
        <v>46288</v>
      </c>
      <c r="F101" t="inlineStr">
        <is>
          <t>VÄSTRA GÖTALANDS LÄN</t>
        </is>
      </c>
      <c r="G101" t="inlineStr">
        <is>
          <t>HÄRRYDA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46107</v>
      </c>
      <c r="E102" s="1" t="n">
        <v>46288</v>
      </c>
      <c r="F102" t="inlineStr">
        <is>
          <t>VÄSTRA GÖTALANDS LÄN</t>
        </is>
      </c>
      <c r="G102" t="inlineStr">
        <is>
          <t>HÄRRYDA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46107</v>
      </c>
      <c r="E103" s="1" t="n">
        <v>46288</v>
      </c>
      <c r="F103" t="inlineStr">
        <is>
          <t>VÄSTRA GÖTALANDS LÄN</t>
        </is>
      </c>
      <c r="G103" t="inlineStr">
        <is>
          <t>HÄRRYDA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34665-2023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45140</v>
      </c>
      <c r="E104" s="1" t="n">
        <v>46288</v>
      </c>
      <c r="F104" t="inlineStr">
        <is>
          <t>VÄSTRA GÖTALANDS LÄN</t>
        </is>
      </c>
      <c r="G104" t="inlineStr">
        <is>
          <t>HÄRRYDA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41725-2024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46288</v>
      </c>
      <c r="F105" t="inlineStr">
        <is>
          <t>VÄSTRA GÖTALANDS LÄN</t>
        </is>
      </c>
      <c r="G105" t="inlineStr">
        <is>
          <t>HÄRRYDA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32866-2022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44784</v>
      </c>
      <c r="E106" s="1" t="n">
        <v>46288</v>
      </c>
      <c r="F106" t="inlineStr">
        <is>
          <t>VÄSTRA GÖTALANDS LÄN</t>
        </is>
      </c>
      <c r="G106" t="inlineStr">
        <is>
          <t>HÄRRYDA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65080-2023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45287</v>
      </c>
      <c r="E107" s="1" t="n">
        <v>46288</v>
      </c>
      <c r="F107" t="inlineStr">
        <is>
          <t>VÄSTRA GÖTALANDS LÄN</t>
        </is>
      </c>
      <c r="G107" t="inlineStr">
        <is>
          <t>HÄRRYDA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59711-2022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46288</v>
      </c>
      <c r="F108" t="inlineStr">
        <is>
          <t>VÄSTRA GÖTALANDS LÄN</t>
        </is>
      </c>
      <c r="G108" t="inlineStr">
        <is>
          <t>HÄRRYDA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46288</v>
      </c>
      <c r="F109" t="inlineStr">
        <is>
          <t>VÄSTRA GÖTALANDS LÄN</t>
        </is>
      </c>
      <c r="G109" t="inlineStr">
        <is>
          <t>HÄRRYDA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46288</v>
      </c>
      <c r="F110" t="inlineStr">
        <is>
          <t>VÄSTRA GÖTALANDS LÄN</t>
        </is>
      </c>
      <c r="G110" t="inlineStr">
        <is>
          <t>HÄRRYDA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46288</v>
      </c>
      <c r="F111" t="inlineStr">
        <is>
          <t>VÄSTRA GÖTALANDS LÄN</t>
        </is>
      </c>
      <c r="G111" t="inlineStr">
        <is>
          <t>HÄRRYDA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45058</v>
      </c>
      <c r="E112" s="1" t="n">
        <v>46288</v>
      </c>
      <c r="F112" t="inlineStr">
        <is>
          <t>VÄSTRA GÖTALANDS LÄN</t>
        </is>
      </c>
      <c r="G112" t="inlineStr">
        <is>
          <t>HÄRRYDA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55071-2023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45237</v>
      </c>
      <c r="E113" s="1" t="n">
        <v>46288</v>
      </c>
      <c r="F113" t="inlineStr">
        <is>
          <t>VÄSTRA GÖTALANDS LÄN</t>
        </is>
      </c>
      <c r="G113" t="inlineStr">
        <is>
          <t>HÄRRYDA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52166-2023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45224</v>
      </c>
      <c r="E114" s="1" t="n">
        <v>46288</v>
      </c>
      <c r="F114" t="inlineStr">
        <is>
          <t>VÄSTRA GÖTALANDS LÄN</t>
        </is>
      </c>
      <c r="G114" t="inlineStr">
        <is>
          <t>HÄRRYDA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31521-2026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46223</v>
      </c>
      <c r="E115" s="1" t="n">
        <v>46288</v>
      </c>
      <c r="F115" t="inlineStr">
        <is>
          <t>VÄSTRA GÖTALANDS LÄN</t>
        </is>
      </c>
      <c r="G115" t="inlineStr">
        <is>
          <t>HÄRRYDA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31631-2026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46225</v>
      </c>
      <c r="E116" s="1" t="n">
        <v>46288</v>
      </c>
      <c r="F116" t="inlineStr">
        <is>
          <t>VÄSTRA GÖTALANDS LÄN</t>
        </is>
      </c>
      <c r="G116" t="inlineStr">
        <is>
          <t>HÄRRYDA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31641-2026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46225</v>
      </c>
      <c r="E117" s="1" t="n">
        <v>46288</v>
      </c>
      <c r="F117" t="inlineStr">
        <is>
          <t>VÄSTRA GÖTALANDS LÄN</t>
        </is>
      </c>
      <c r="G117" t="inlineStr">
        <is>
          <t>HÄRRYDA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46288</v>
      </c>
      <c r="F118" t="inlineStr">
        <is>
          <t>VÄSTRA GÖTALANDS LÄN</t>
        </is>
      </c>
      <c r="G118" t="inlineStr">
        <is>
          <t>HÄRRYDA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46288</v>
      </c>
      <c r="F119" t="inlineStr">
        <is>
          <t>VÄSTRA GÖTALANDS LÄN</t>
        </is>
      </c>
      <c r="G119" t="inlineStr">
        <is>
          <t>HÄRRYDA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45218</v>
      </c>
      <c r="E120" s="1" t="n">
        <v>46288</v>
      </c>
      <c r="F120" t="inlineStr">
        <is>
          <t>VÄSTRA GÖTALANDS LÄN</t>
        </is>
      </c>
      <c r="G120" t="inlineStr">
        <is>
          <t>HÄRRYDA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31825-2026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46230</v>
      </c>
      <c r="E121" s="1" t="n">
        <v>46288</v>
      </c>
      <c r="F121" t="inlineStr">
        <is>
          <t>VÄSTRA GÖTALANDS LÄN</t>
        </is>
      </c>
      <c r="G121" t="inlineStr">
        <is>
          <t>HÄRRYDA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36502-2026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46269</v>
      </c>
      <c r="E122" s="1" t="n">
        <v>46288</v>
      </c>
      <c r="F122" t="inlineStr">
        <is>
          <t>VÄSTRA GÖTALANDS LÄN</t>
        </is>
      </c>
      <c r="G122" t="inlineStr">
        <is>
          <t>HÄRRYDA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46288</v>
      </c>
      <c r="F123" t="inlineStr">
        <is>
          <t>VÄSTRA GÖTALANDS LÄN</t>
        </is>
      </c>
      <c r="G123" t="inlineStr">
        <is>
          <t>HÄRRYDA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44732</v>
      </c>
      <c r="E124" s="1" t="n">
        <v>46288</v>
      </c>
      <c r="F124" t="inlineStr">
        <is>
          <t>VÄSTRA GÖTALANDS LÄN</t>
        </is>
      </c>
      <c r="G124" t="inlineStr">
        <is>
          <t>HÄRRYDA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46238</v>
      </c>
      <c r="E125" s="1" t="n">
        <v>46288</v>
      </c>
      <c r="F125" t="inlineStr">
        <is>
          <t>VÄSTRA GÖTALANDS LÄN</t>
        </is>
      </c>
      <c r="G125" t="inlineStr">
        <is>
          <t>HÄRRYDA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32377-2026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46238</v>
      </c>
      <c r="E126" s="1" t="n">
        <v>46288</v>
      </c>
      <c r="F126" t="inlineStr">
        <is>
          <t>VÄSTRA GÖTALANDS LÄN</t>
        </is>
      </c>
      <c r="G126" t="inlineStr">
        <is>
          <t>HÄRRYDA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46238</v>
      </c>
      <c r="E127" s="1" t="n">
        <v>46288</v>
      </c>
      <c r="F127" t="inlineStr">
        <is>
          <t>VÄSTRA GÖTALANDS LÄN</t>
        </is>
      </c>
      <c r="G127" t="inlineStr">
        <is>
          <t>HÄRRYDA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46798-2024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46288</v>
      </c>
      <c r="F128" t="inlineStr">
        <is>
          <t>VÄSTRA GÖTALANDS LÄN</t>
        </is>
      </c>
      <c r="G128" t="inlineStr">
        <is>
          <t>HÄRRYDA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46288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45798</v>
      </c>
      <c r="E130" s="1" t="n">
        <v>46288</v>
      </c>
      <c r="F130" t="inlineStr">
        <is>
          <t>VÄSTRA GÖTALANDS LÄN</t>
        </is>
      </c>
      <c r="G130" t="inlineStr">
        <is>
          <t>HÄRRYDA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46288</v>
      </c>
      <c r="F131" t="inlineStr">
        <is>
          <t>VÄSTRA GÖTALANDS LÄN</t>
        </is>
      </c>
      <c r="G131" t="inlineStr">
        <is>
          <t>HÄRRYDA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46288</v>
      </c>
      <c r="F132" t="inlineStr">
        <is>
          <t>VÄSTRA GÖTALANDS LÄN</t>
        </is>
      </c>
      <c r="G132" t="inlineStr">
        <is>
          <t>HÄRRYDA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45373</v>
      </c>
      <c r="E133" s="1" t="n">
        <v>46288</v>
      </c>
      <c r="F133" t="inlineStr">
        <is>
          <t>VÄSTRA GÖTALANDS LÄN</t>
        </is>
      </c>
      <c r="G133" t="inlineStr">
        <is>
          <t>HÄRRYDA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46288</v>
      </c>
      <c r="F134" t="inlineStr">
        <is>
          <t>VÄSTRA GÖTALANDS LÄN</t>
        </is>
      </c>
      <c r="G134" t="inlineStr">
        <is>
          <t>HÄRRYDA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16509-2025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45751</v>
      </c>
      <c r="E135" s="1" t="n">
        <v>46288</v>
      </c>
      <c r="F135" t="inlineStr">
        <is>
          <t>VÄSTRA GÖTALANDS LÄN</t>
        </is>
      </c>
      <c r="G135" t="inlineStr">
        <is>
          <t>HÄRRYDA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2026-09-23T01:58:11Z</dcterms:created>
  <dcterms:modified xmlns:dcterms="http://purl.org/dc/terms/" xmlns:xsi="http://www.w3.org/2001/XMLSchema-instance" xsi:type="dcterms:W3CDTF">2026-09-23T01:58:11Z</dcterms:modified>
</cp:coreProperties>
</file>