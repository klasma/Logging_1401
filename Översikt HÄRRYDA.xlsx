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46183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46183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46183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46183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46183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46183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27482-2025</t>
        </is>
      </c>
      <c r="B8" s="1" t="n">
        <v>45813.38332175926</v>
      </c>
      <c r="C8" s="1" t="n">
        <v>46183</v>
      </c>
      <c r="D8" t="inlineStr">
        <is>
          <t>VÄSTRA GÖTALANDS LÄN</t>
        </is>
      </c>
      <c r="E8" t="inlineStr">
        <is>
          <t>HÄRRYDA</t>
        </is>
      </c>
      <c r="G8" t="n">
        <v>14.1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HYPERLINK("https://klasma.github.io/Logging_1401/artfynd/A 27482-2025 artfynd.xlsx", "A 27482-2025")</f>
        <v/>
      </c>
      <c r="T8">
        <f>HYPERLINK("https://klasma.github.io/Logging_1401/kartor/A 27482-2025 karta.png", "A 27482-2025")</f>
        <v/>
      </c>
      <c r="V8">
        <f>HYPERLINK("https://klasma.github.io/Logging_1401/klagomål/A 27482-2025 FSC-klagomål.docx", "A 27482-2025")</f>
        <v/>
      </c>
      <c r="W8">
        <f>HYPERLINK("https://klasma.github.io/Logging_1401/klagomålsmail/A 27482-2025 FSC-klagomål mail.docx", "A 27482-2025")</f>
        <v/>
      </c>
      <c r="X8">
        <f>HYPERLINK("https://klasma.github.io/Logging_1401/tillsyn/A 27482-2025 tillsynsbegäran.docx", "A 27482-2025")</f>
        <v/>
      </c>
      <c r="Y8">
        <f>HYPERLINK("https://klasma.github.io/Logging_1401/tillsynsmail/A 27482-2025 tillsynsbegäran mail.docx", "A 27482-2025")</f>
        <v/>
      </c>
    </row>
    <row r="9" ht="15" customHeight="1">
      <c r="A9" t="inlineStr">
        <is>
          <t>A 14259-2025</t>
        </is>
      </c>
      <c r="B9" s="1" t="n">
        <v>45740.62429398148</v>
      </c>
      <c r="C9" s="1" t="n">
        <v>46183</v>
      </c>
      <c r="D9" t="inlineStr">
        <is>
          <t>VÄSTRA GÖTALANDS LÄN</t>
        </is>
      </c>
      <c r="E9" t="inlineStr">
        <is>
          <t>HÄRRYDA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HYPERLINK("https://klasma.github.io/Logging_1401/artfynd/A 14259-2025 artfynd.xlsx", "A 14259-2025")</f>
        <v/>
      </c>
      <c r="T9">
        <f>HYPERLINK("https://klasma.github.io/Logging_1401/kartor/A 14259-2025 karta.png", "A 14259-2025")</f>
        <v/>
      </c>
      <c r="V9">
        <f>HYPERLINK("https://klasma.github.io/Logging_1401/klagomål/A 14259-2025 FSC-klagomål.docx", "A 14259-2025")</f>
        <v/>
      </c>
      <c r="W9">
        <f>HYPERLINK("https://klasma.github.io/Logging_1401/klagomålsmail/A 14259-2025 FSC-klagomål mail.docx", "A 14259-2025")</f>
        <v/>
      </c>
      <c r="X9">
        <f>HYPERLINK("https://klasma.github.io/Logging_1401/tillsyn/A 14259-2025 tillsynsbegäran.docx", "A 14259-2025")</f>
        <v/>
      </c>
      <c r="Y9">
        <f>HYPERLINK("https://klasma.github.io/Logging_1401/tillsynsmail/A 14259-2025 tillsynsbegäran mail.docx", "A 14259-2025")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46183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46183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46183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46183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25504-2022</t>
        </is>
      </c>
      <c r="B14" s="1" t="n">
        <v>44732</v>
      </c>
      <c r="C14" s="1" t="n">
        <v>46183</v>
      </c>
      <c r="D14" t="inlineStr">
        <is>
          <t>VÄSTRA GÖTALANDS LÄN</t>
        </is>
      </c>
      <c r="E14" t="inlineStr">
        <is>
          <t>HÄRRYDA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6111-2022</t>
        </is>
      </c>
      <c r="B15" s="1" t="n">
        <v>44599</v>
      </c>
      <c r="C15" s="1" t="n">
        <v>46183</v>
      </c>
      <c r="D15" t="inlineStr">
        <is>
          <t>VÄSTRA GÖTALANDS LÄN</t>
        </is>
      </c>
      <c r="E15" t="inlineStr">
        <is>
          <t>HÄRRYDA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10460-2022</t>
        </is>
      </c>
      <c r="B16" s="1" t="n">
        <v>44623.57480324074</v>
      </c>
      <c r="C16" s="1" t="n">
        <v>46183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53200-2021</t>
        </is>
      </c>
      <c r="B17" s="1" t="n">
        <v>44468</v>
      </c>
      <c r="C17" s="1" t="n">
        <v>46183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21780-2022</t>
        </is>
      </c>
      <c r="B18" s="1" t="n">
        <v>44708</v>
      </c>
      <c r="C18" s="1" t="n">
        <v>46183</v>
      </c>
      <c r="D18" t="inlineStr">
        <is>
          <t>VÄSTRA GÖTALANDS LÄN</t>
        </is>
      </c>
      <c r="E18" t="inlineStr">
        <is>
          <t>HÄRRYDA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58926-2021</t>
        </is>
      </c>
      <c r="B19" s="1" t="n">
        <v>44489.80715277778</v>
      </c>
      <c r="C19" s="1" t="n">
        <v>46183</v>
      </c>
      <c r="D19" t="inlineStr">
        <is>
          <t>VÄSTRA GÖTALANDS LÄN</t>
        </is>
      </c>
      <c r="E19" t="inlineStr">
        <is>
          <t>HÄRRYDA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53204-2021</t>
        </is>
      </c>
      <c r="B20" s="1" t="n">
        <v>44468</v>
      </c>
      <c r="C20" s="1" t="n">
        <v>46183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59767-2021</t>
        </is>
      </c>
      <c r="B21" s="1" t="n">
        <v>44494</v>
      </c>
      <c r="C21" s="1" t="n">
        <v>46183</v>
      </c>
      <c r="D21" t="inlineStr">
        <is>
          <t>VÄSTRA GÖTALANDS LÄN</t>
        </is>
      </c>
      <c r="E21" t="inlineStr">
        <is>
          <t>HÄRRYDA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9165-2022</t>
        </is>
      </c>
      <c r="B22" s="1" t="n">
        <v>44615.66289351852</v>
      </c>
      <c r="C22" s="1" t="n">
        <v>46183</v>
      </c>
      <c r="D22" t="inlineStr">
        <is>
          <t>VÄSTRA GÖTALANDS LÄN</t>
        </is>
      </c>
      <c r="E22" t="inlineStr">
        <is>
          <t>HÄRRYDA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36741-2021</t>
        </is>
      </c>
      <c r="B23" s="1" t="n">
        <v>44392</v>
      </c>
      <c r="C23" s="1" t="n">
        <v>46183</v>
      </c>
      <c r="D23" t="inlineStr">
        <is>
          <t>VÄSTRA GÖTALANDS LÄN</t>
        </is>
      </c>
      <c r="E23" t="inlineStr">
        <is>
          <t>HÄRRYDA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71648-2021</t>
        </is>
      </c>
      <c r="B24" s="1" t="n">
        <v>44543.354375</v>
      </c>
      <c r="C24" s="1" t="n">
        <v>46183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63595-2021</t>
        </is>
      </c>
      <c r="B25" s="1" t="n">
        <v>44508</v>
      </c>
      <c r="C25" s="1" t="n">
        <v>46183</v>
      </c>
      <c r="D25" t="inlineStr">
        <is>
          <t>VÄSTRA GÖTALANDS LÄN</t>
        </is>
      </c>
      <c r="E25" t="inlineStr">
        <is>
          <t>HÄRRYDA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19782-2022</t>
        </is>
      </c>
      <c r="B26" s="1" t="n">
        <v>44694</v>
      </c>
      <c r="C26" s="1" t="n">
        <v>46183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15683-2022</t>
        </is>
      </c>
      <c r="B27" s="1" t="n">
        <v>44663</v>
      </c>
      <c r="C27" s="1" t="n">
        <v>46183</v>
      </c>
      <c r="D27" t="inlineStr">
        <is>
          <t>VÄSTRA GÖTALANDS LÄN</t>
        </is>
      </c>
      <c r="E27" t="inlineStr">
        <is>
          <t>HÄRRYDA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21800-2023</t>
        </is>
      </c>
      <c r="B28" s="1" t="n">
        <v>45067.85023148148</v>
      </c>
      <c r="C28" s="1" t="n">
        <v>46183</v>
      </c>
      <c r="D28" t="inlineStr">
        <is>
          <t>VÄSTRA GÖTALANDS LÄN</t>
        </is>
      </c>
      <c r="E28" t="inlineStr">
        <is>
          <t>HÄRRYDA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34665-2023</t>
        </is>
      </c>
      <c r="B29" s="1" t="n">
        <v>45140.81900462963</v>
      </c>
      <c r="C29" s="1" t="n">
        <v>46183</v>
      </c>
      <c r="D29" t="inlineStr">
        <is>
          <t>VÄSTRA GÖTALANDS LÄN</t>
        </is>
      </c>
      <c r="E29" t="inlineStr">
        <is>
          <t>HÄRRYDA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14183-2024</t>
        </is>
      </c>
      <c r="B30" s="1" t="n">
        <v>45393.34479166667</v>
      </c>
      <c r="C30" s="1" t="n">
        <v>46183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51162-2023</t>
        </is>
      </c>
      <c r="B31" s="1" t="n">
        <v>45219</v>
      </c>
      <c r="C31" s="1" t="n">
        <v>46183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32869-2022</t>
        </is>
      </c>
      <c r="B32" s="1" t="n">
        <v>44784.51399305555</v>
      </c>
      <c r="C32" s="1" t="n">
        <v>46183</v>
      </c>
      <c r="D32" t="inlineStr">
        <is>
          <t>VÄSTRA GÖTALANDS LÄN</t>
        </is>
      </c>
      <c r="E32" t="inlineStr">
        <is>
          <t>HÄRRYDA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64560-2023</t>
        </is>
      </c>
      <c r="B33" s="1" t="n">
        <v>45281.4116087963</v>
      </c>
      <c r="C33" s="1" t="n">
        <v>46183</v>
      </c>
      <c r="D33" t="inlineStr">
        <is>
          <t>VÄSTRA GÖTALANDS LÄN</t>
        </is>
      </c>
      <c r="E33" t="inlineStr">
        <is>
          <t>HÄRRYDA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51127-2023</t>
        </is>
      </c>
      <c r="B34" s="1" t="n">
        <v>45219</v>
      </c>
      <c r="C34" s="1" t="n">
        <v>46183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51130-2023</t>
        </is>
      </c>
      <c r="B35" s="1" t="n">
        <v>45219</v>
      </c>
      <c r="C35" s="1" t="n">
        <v>46183</v>
      </c>
      <c r="D35" t="inlineStr">
        <is>
          <t>VÄSTRA GÖTALANDS LÄN</t>
        </is>
      </c>
      <c r="E35" t="inlineStr">
        <is>
          <t>HÄRRYDA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69563-2021</t>
        </is>
      </c>
      <c r="B36" s="1" t="n">
        <v>44532</v>
      </c>
      <c r="C36" s="1" t="n">
        <v>46183</v>
      </c>
      <c r="D36" t="inlineStr">
        <is>
          <t>VÄSTRA GÖTALANDS LÄN</t>
        </is>
      </c>
      <c r="E36" t="inlineStr">
        <is>
          <t>HÄRRYDA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2605-2024</t>
        </is>
      </c>
      <c r="B37" s="1" t="n">
        <v>45313.7355787037</v>
      </c>
      <c r="C37" s="1" t="n">
        <v>46183</v>
      </c>
      <c r="D37" t="inlineStr">
        <is>
          <t>VÄSTRA GÖTALANDS LÄN</t>
        </is>
      </c>
      <c r="E37" t="inlineStr">
        <is>
          <t>HÄRRYDA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41457-2023</t>
        </is>
      </c>
      <c r="B38" s="1" t="n">
        <v>45175</v>
      </c>
      <c r="C38" s="1" t="n">
        <v>46183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12091-2024</t>
        </is>
      </c>
      <c r="B39" s="1" t="n">
        <v>45377.56653935185</v>
      </c>
      <c r="C39" s="1" t="n">
        <v>46183</v>
      </c>
      <c r="D39" t="inlineStr">
        <is>
          <t>VÄSTRA GÖTALANDS LÄN</t>
        </is>
      </c>
      <c r="E39" t="inlineStr">
        <is>
          <t>HÄRRYDA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22271-2025</t>
        </is>
      </c>
      <c r="B40" s="1" t="n">
        <v>45785.89675925926</v>
      </c>
      <c r="C40" s="1" t="n">
        <v>46183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63592-2021</t>
        </is>
      </c>
      <c r="B41" s="1" t="n">
        <v>44508</v>
      </c>
      <c r="C41" s="1" t="n">
        <v>46183</v>
      </c>
      <c r="D41" t="inlineStr">
        <is>
          <t>VÄSTRA GÖTALANDS LÄN</t>
        </is>
      </c>
      <c r="E41" t="inlineStr">
        <is>
          <t>HÄRRYDA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46183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2946-2024</t>
        </is>
      </c>
      <c r="B43" s="1" t="n">
        <v>45315</v>
      </c>
      <c r="C43" s="1" t="n">
        <v>46183</v>
      </c>
      <c r="D43" t="inlineStr">
        <is>
          <t>VÄSTRA GÖTALANDS LÄN</t>
        </is>
      </c>
      <c r="E43" t="inlineStr">
        <is>
          <t>HÄRRYDA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24542-2025</t>
        </is>
      </c>
      <c r="B44" s="1" t="n">
        <v>45798.44365740741</v>
      </c>
      <c r="C44" s="1" t="n">
        <v>46183</v>
      </c>
      <c r="D44" t="inlineStr">
        <is>
          <t>VÄSTRA GÖTALANDS LÄN</t>
        </is>
      </c>
      <c r="E44" t="inlineStr">
        <is>
          <t>HÄRRYDA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12090-2024</t>
        </is>
      </c>
      <c r="B45" s="1" t="n">
        <v>45377.56537037037</v>
      </c>
      <c r="C45" s="1" t="n">
        <v>46183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52043-2024</t>
        </is>
      </c>
      <c r="B46" s="1" t="n">
        <v>45608.32934027778</v>
      </c>
      <c r="C46" s="1" t="n">
        <v>46183</v>
      </c>
      <c r="D46" t="inlineStr">
        <is>
          <t>VÄSTRA GÖTALANDS LÄN</t>
        </is>
      </c>
      <c r="E46" t="inlineStr">
        <is>
          <t>HÄRRYDA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45629.57262731482</v>
      </c>
      <c r="C47" s="1" t="n">
        <v>46183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4433-2025</t>
        </is>
      </c>
      <c r="B48" s="1" t="n">
        <v>45686.49392361111</v>
      </c>
      <c r="C48" s="1" t="n">
        <v>46183</v>
      </c>
      <c r="D48" t="inlineStr">
        <is>
          <t>VÄSTRA GÖTALANDS LÄN</t>
        </is>
      </c>
      <c r="E48" t="inlineStr">
        <is>
          <t>HÄRRYDA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26992-2025</t>
        </is>
      </c>
      <c r="B49" s="1" t="n">
        <v>45811.52253472222</v>
      </c>
      <c r="C49" s="1" t="n">
        <v>46183</v>
      </c>
      <c r="D49" t="inlineStr">
        <is>
          <t>VÄSTRA GÖTALANDS LÄN</t>
        </is>
      </c>
      <c r="E49" t="inlineStr">
        <is>
          <t>HÄRRYDA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29697-2023</t>
        </is>
      </c>
      <c r="B50" s="1" t="n">
        <v>45107</v>
      </c>
      <c r="C50" s="1" t="n">
        <v>46183</v>
      </c>
      <c r="D50" t="inlineStr">
        <is>
          <t>VÄSTRA GÖTALANDS LÄN</t>
        </is>
      </c>
      <c r="E50" t="inlineStr">
        <is>
          <t>HÄRRYDA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23492-2022</t>
        </is>
      </c>
      <c r="B51" s="1" t="n">
        <v>44721.36030092592</v>
      </c>
      <c r="C51" s="1" t="n">
        <v>46183</v>
      </c>
      <c r="D51" t="inlineStr">
        <is>
          <t>VÄSTRA GÖTALANDS LÄN</t>
        </is>
      </c>
      <c r="E51" t="inlineStr">
        <is>
          <t>HÄRRYDA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39761-2023</t>
        </is>
      </c>
      <c r="B52" s="1" t="n">
        <v>45167.71447916667</v>
      </c>
      <c r="C52" s="1" t="n">
        <v>46183</v>
      </c>
      <c r="D52" t="inlineStr">
        <is>
          <t>VÄSTRA GÖTALANDS LÄN</t>
        </is>
      </c>
      <c r="E52" t="inlineStr">
        <is>
          <t>HÄRRYDA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27513-2025</t>
        </is>
      </c>
      <c r="B53" s="1" t="n">
        <v>45813.42880787037</v>
      </c>
      <c r="C53" s="1" t="n">
        <v>46183</v>
      </c>
      <c r="D53" t="inlineStr">
        <is>
          <t>VÄSTRA GÖTALANDS LÄN</t>
        </is>
      </c>
      <c r="E53" t="inlineStr">
        <is>
          <t>HÄRRYDA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11697-2024</t>
        </is>
      </c>
      <c r="B54" s="1" t="n">
        <v>45373.60171296296</v>
      </c>
      <c r="C54" s="1" t="n">
        <v>46183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56558-2024</t>
        </is>
      </c>
      <c r="B55" s="1" t="n">
        <v>45625.57997685186</v>
      </c>
      <c r="C55" s="1" t="n">
        <v>46183</v>
      </c>
      <c r="D55" t="inlineStr">
        <is>
          <t>VÄSTRA GÖTALANDS LÄN</t>
        </is>
      </c>
      <c r="E55" t="inlineStr">
        <is>
          <t>HÄRRYDA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19977-2022</t>
        </is>
      </c>
      <c r="B56" s="1" t="n">
        <v>44697</v>
      </c>
      <c r="C56" s="1" t="n">
        <v>46183</v>
      </c>
      <c r="D56" t="inlineStr">
        <is>
          <t>VÄSTRA GÖTALANDS LÄN</t>
        </is>
      </c>
      <c r="E56" t="inlineStr">
        <is>
          <t>HÄRRYDA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46798-2024</t>
        </is>
      </c>
      <c r="B57" s="1" t="n">
        <v>45583</v>
      </c>
      <c r="C57" s="1" t="n">
        <v>46183</v>
      </c>
      <c r="D57" t="inlineStr">
        <is>
          <t>VÄSTRA GÖTALANDS LÄN</t>
        </is>
      </c>
      <c r="E57" t="inlineStr">
        <is>
          <t>HÄRRYDA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37201-2023</t>
        </is>
      </c>
      <c r="B58" s="1" t="n">
        <v>45155</v>
      </c>
      <c r="C58" s="1" t="n">
        <v>46183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9491-2025</t>
        </is>
      </c>
      <c r="B59" s="1" t="n">
        <v>45715.4965162037</v>
      </c>
      <c r="C59" s="1" t="n">
        <v>46183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47362-2024</t>
        </is>
      </c>
      <c r="B60" s="1" t="n">
        <v>45587.4371875</v>
      </c>
      <c r="C60" s="1" t="n">
        <v>46183</v>
      </c>
      <c r="D60" t="inlineStr">
        <is>
          <t>VÄSTRA GÖTALANDS LÄN</t>
        </is>
      </c>
      <c r="E60" t="inlineStr">
        <is>
          <t>HÄRRYDA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51157-2023</t>
        </is>
      </c>
      <c r="B61" s="1" t="n">
        <v>45219</v>
      </c>
      <c r="C61" s="1" t="n">
        <v>46183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40053-2023</t>
        </is>
      </c>
      <c r="B62" s="1" t="n">
        <v>45168.72297453704</v>
      </c>
      <c r="C62" s="1" t="n">
        <v>46183</v>
      </c>
      <c r="D62" t="inlineStr">
        <is>
          <t>VÄSTRA GÖTALANDS LÄN</t>
        </is>
      </c>
      <c r="E62" t="inlineStr">
        <is>
          <t>HÄRRYDA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5630-2023</t>
        </is>
      </c>
      <c r="B63" s="1" t="n">
        <v>44960</v>
      </c>
      <c r="C63" s="1" t="n">
        <v>46183</v>
      </c>
      <c r="D63" t="inlineStr">
        <is>
          <t>VÄSTRA GÖTALANDS LÄN</t>
        </is>
      </c>
      <c r="E63" t="inlineStr">
        <is>
          <t>HÄRRYDA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65080-2023</t>
        </is>
      </c>
      <c r="B64" s="1" t="n">
        <v>45287</v>
      </c>
      <c r="C64" s="1" t="n">
        <v>46183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35404-2025</t>
        </is>
      </c>
      <c r="B65" s="1" t="n">
        <v>45855.35253472222</v>
      </c>
      <c r="C65" s="1" t="n">
        <v>46183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16509-2025</t>
        </is>
      </c>
      <c r="B66" s="1" t="n">
        <v>45751.61958333333</v>
      </c>
      <c r="C66" s="1" t="n">
        <v>46183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46183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46183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25439-2022</t>
        </is>
      </c>
      <c r="B69" s="1" t="n">
        <v>44732.48712962963</v>
      </c>
      <c r="C69" s="1" t="n">
        <v>46183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3753-2024</t>
        </is>
      </c>
      <c r="B70" s="1" t="n">
        <v>45321.54748842592</v>
      </c>
      <c r="C70" s="1" t="n">
        <v>46183</v>
      </c>
      <c r="D70" t="inlineStr">
        <is>
          <t>VÄSTRA GÖTALANDS LÄN</t>
        </is>
      </c>
      <c r="E70" t="inlineStr">
        <is>
          <t>HÄRRYDA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14468-2023</t>
        </is>
      </c>
      <c r="B71" s="1" t="n">
        <v>45012.65208333333</v>
      </c>
      <c r="C71" s="1" t="n">
        <v>46183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25726-2022</t>
        </is>
      </c>
      <c r="B72" s="1" t="n">
        <v>44733</v>
      </c>
      <c r="C72" s="1" t="n">
        <v>46183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1807-2024</t>
        </is>
      </c>
      <c r="B73" s="1" t="n">
        <v>45307.59741898148</v>
      </c>
      <c r="C73" s="1" t="n">
        <v>46183</v>
      </c>
      <c r="D73" t="inlineStr">
        <is>
          <t>VÄSTRA GÖTALANDS LÄN</t>
        </is>
      </c>
      <c r="E73" t="inlineStr">
        <is>
          <t>HÄRRYDA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61741-2025</t>
        </is>
      </c>
      <c r="B74" s="1" t="n">
        <v>46002.60090277778</v>
      </c>
      <c r="C74" s="1" t="n">
        <v>46183</v>
      </c>
      <c r="D74" t="inlineStr">
        <is>
          <t>VÄSTRA GÖTALANDS LÄN</t>
        </is>
      </c>
      <c r="E74" t="inlineStr">
        <is>
          <t>HÄRRYDA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16679-2025</t>
        </is>
      </c>
      <c r="B75" s="1" t="n">
        <v>45754.44922453703</v>
      </c>
      <c r="C75" s="1" t="n">
        <v>46183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47334-2024</t>
        </is>
      </c>
      <c r="B76" s="1" t="n">
        <v>45587.39581018518</v>
      </c>
      <c r="C76" s="1" t="n">
        <v>46183</v>
      </c>
      <c r="D76" t="inlineStr">
        <is>
          <t>VÄSTRA GÖTALANDS LÄN</t>
        </is>
      </c>
      <c r="E76" t="inlineStr">
        <is>
          <t>HÄRRYDA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20994-2026</t>
        </is>
      </c>
      <c r="B77" s="1" t="n">
        <v>46142</v>
      </c>
      <c r="C77" s="1" t="n">
        <v>46183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72891-2021</t>
        </is>
      </c>
      <c r="B78" s="1" t="n">
        <v>44547</v>
      </c>
      <c r="C78" s="1" t="n">
        <v>46183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59711-2022</t>
        </is>
      </c>
      <c r="B79" s="1" t="n">
        <v>44908.40974537037</v>
      </c>
      <c r="C79" s="1" t="n">
        <v>46183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41318-2022</t>
        </is>
      </c>
      <c r="B80" s="1" t="n">
        <v>44826</v>
      </c>
      <c r="C80" s="1" t="n">
        <v>46183</v>
      </c>
      <c r="D80" t="inlineStr">
        <is>
          <t>VÄSTRA GÖTALANDS LÄN</t>
        </is>
      </c>
      <c r="E80" t="inlineStr">
        <is>
          <t>HÄRRYDA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46183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61737-2025</t>
        </is>
      </c>
      <c r="B82" s="1" t="n">
        <v>46002.59627314815</v>
      </c>
      <c r="C82" s="1" t="n">
        <v>46183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39762-2023</t>
        </is>
      </c>
      <c r="B83" s="1" t="n">
        <v>45167.71539351852</v>
      </c>
      <c r="C83" s="1" t="n">
        <v>46183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61874-2024</t>
        </is>
      </c>
      <c r="B84" s="1" t="n">
        <v>45651.93527777777</v>
      </c>
      <c r="C84" s="1" t="n">
        <v>46183</v>
      </c>
      <c r="D84" t="inlineStr">
        <is>
          <t>VÄSTRA GÖTALANDS LÄN</t>
        </is>
      </c>
      <c r="E84" t="inlineStr">
        <is>
          <t>HÄRRYDA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48440-2025</t>
        </is>
      </c>
      <c r="B85" s="1" t="n">
        <v>45935.51550925926</v>
      </c>
      <c r="C85" s="1" t="n">
        <v>46183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48538-2025</t>
        </is>
      </c>
      <c r="B86" s="1" t="n">
        <v>45936.41079861111</v>
      </c>
      <c r="C86" s="1" t="n">
        <v>46183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48432-2025</t>
        </is>
      </c>
      <c r="B87" s="1" t="n">
        <v>45934.89319444444</v>
      </c>
      <c r="C87" s="1" t="n">
        <v>46183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51501-2025</t>
        </is>
      </c>
      <c r="B88" s="1" t="n">
        <v>45950.63748842593</v>
      </c>
      <c r="C88" s="1" t="n">
        <v>46183</v>
      </c>
      <c r="D88" t="inlineStr">
        <is>
          <t>VÄSTRA GÖTALANDS LÄN</t>
        </is>
      </c>
      <c r="E88" t="inlineStr">
        <is>
          <t>HÄRRYDA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21398-2023</t>
        </is>
      </c>
      <c r="B89" s="1" t="n">
        <v>45063</v>
      </c>
      <c r="C89" s="1" t="n">
        <v>46183</v>
      </c>
      <c r="D89" t="inlineStr">
        <is>
          <t>VÄSTRA GÖTALANDS LÄN</t>
        </is>
      </c>
      <c r="E89" t="inlineStr">
        <is>
          <t>HÄRRYDA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20727-2023</t>
        </is>
      </c>
      <c r="B90" s="1" t="n">
        <v>45058.48152777777</v>
      </c>
      <c r="C90" s="1" t="n">
        <v>46183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25499-2022</t>
        </is>
      </c>
      <c r="B91" s="1" t="n">
        <v>44732.57032407408</v>
      </c>
      <c r="C91" s="1" t="n">
        <v>46183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55273-2025</t>
        </is>
      </c>
      <c r="B92" s="1" t="n">
        <v>45968.69956018519</v>
      </c>
      <c r="C92" s="1" t="n">
        <v>46183</v>
      </c>
      <c r="D92" t="inlineStr">
        <is>
          <t>VÄSTRA GÖTALANDS LÄN</t>
        </is>
      </c>
      <c r="E92" t="inlineStr">
        <is>
          <t>HÄRRYDA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55274-2025</t>
        </is>
      </c>
      <c r="B93" s="1" t="n">
        <v>45968.70364583333</v>
      </c>
      <c r="C93" s="1" t="n">
        <v>46183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32866-2022</t>
        </is>
      </c>
      <c r="B94" s="1" t="n">
        <v>44784.50711805555</v>
      </c>
      <c r="C94" s="1" t="n">
        <v>46183</v>
      </c>
      <c r="D94" t="inlineStr">
        <is>
          <t>VÄSTRA GÖTALANDS LÄN</t>
        </is>
      </c>
      <c r="E94" t="inlineStr">
        <is>
          <t>HÄRRYDA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5985-2024</t>
        </is>
      </c>
      <c r="B95" s="1" t="n">
        <v>45336.56657407407</v>
      </c>
      <c r="C95" s="1" t="n">
        <v>46183</v>
      </c>
      <c r="D95" t="inlineStr">
        <is>
          <t>VÄSTRA GÖTALANDS LÄN</t>
        </is>
      </c>
      <c r="E95" t="inlineStr">
        <is>
          <t>HÄRRYDA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64291-2023</t>
        </is>
      </c>
      <c r="B96" s="1" t="n">
        <v>45280</v>
      </c>
      <c r="C96" s="1" t="n">
        <v>46183</v>
      </c>
      <c r="D96" t="inlineStr">
        <is>
          <t>VÄSTRA GÖTALANDS LÄN</t>
        </is>
      </c>
      <c r="E96" t="inlineStr">
        <is>
          <t>HÄRRYDA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47350-2024</t>
        </is>
      </c>
      <c r="B97" s="1" t="n">
        <v>45587.41349537037</v>
      </c>
      <c r="C97" s="1" t="n">
        <v>46183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46183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1551-2022</t>
        </is>
      </c>
      <c r="B99" s="1" t="n">
        <v>44573.61799768519</v>
      </c>
      <c r="C99" s="1" t="n">
        <v>46183</v>
      </c>
      <c r="D99" t="inlineStr">
        <is>
          <t>VÄSTRA GÖTALANDS LÄN</t>
        </is>
      </c>
      <c r="E99" t="inlineStr">
        <is>
          <t>HÄRRYDA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51012-2023</t>
        </is>
      </c>
      <c r="B100" s="1" t="n">
        <v>45218.57846064815</v>
      </c>
      <c r="C100" s="1" t="n">
        <v>46183</v>
      </c>
      <c r="D100" t="inlineStr">
        <is>
          <t>VÄSTRA GÖTALANDS LÄN</t>
        </is>
      </c>
      <c r="E100" t="inlineStr">
        <is>
          <t>HÄRRYDA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56832-2023</t>
        </is>
      </c>
      <c r="B101" s="1" t="n">
        <v>45244</v>
      </c>
      <c r="C101" s="1" t="n">
        <v>46183</v>
      </c>
      <c r="D101" t="inlineStr">
        <is>
          <t>VÄSTRA GÖTALANDS LÄN</t>
        </is>
      </c>
      <c r="E101" t="inlineStr">
        <is>
          <t>HÄRRYDA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60432-2022</t>
        </is>
      </c>
      <c r="B102" s="1" t="n">
        <v>44911</v>
      </c>
      <c r="C102" s="1" t="n">
        <v>46183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13108-2023</t>
        </is>
      </c>
      <c r="B103" s="1" t="n">
        <v>45002</v>
      </c>
      <c r="C103" s="1" t="n">
        <v>46183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29696-2023</t>
        </is>
      </c>
      <c r="B104" s="1" t="n">
        <v>45107</v>
      </c>
      <c r="C104" s="1" t="n">
        <v>46183</v>
      </c>
      <c r="D104" t="inlineStr">
        <is>
          <t>VÄSTRA GÖTALANDS LÄN</t>
        </is>
      </c>
      <c r="E104" t="inlineStr">
        <is>
          <t>HÄRRYDA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58481-2022</t>
        </is>
      </c>
      <c r="B105" s="1" t="n">
        <v>44902</v>
      </c>
      <c r="C105" s="1" t="n">
        <v>46183</v>
      </c>
      <c r="D105" t="inlineStr">
        <is>
          <t>VÄSTRA GÖTALANDS LÄN</t>
        </is>
      </c>
      <c r="E105" t="inlineStr">
        <is>
          <t>HÄRRYDA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34938-2022</t>
        </is>
      </c>
      <c r="B106" s="1" t="n">
        <v>44796</v>
      </c>
      <c r="C106" s="1" t="n">
        <v>46183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5987-2024</t>
        </is>
      </c>
      <c r="B107" s="1" t="n">
        <v>45336</v>
      </c>
      <c r="C107" s="1" t="n">
        <v>46183</v>
      </c>
      <c r="D107" t="inlineStr">
        <is>
          <t>VÄSTRA GÖTALANDS LÄN</t>
        </is>
      </c>
      <c r="E107" t="inlineStr">
        <is>
          <t>HÄRRYDA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55071-2023</t>
        </is>
      </c>
      <c r="B108" s="1" t="n">
        <v>45237</v>
      </c>
      <c r="C108" s="1" t="n">
        <v>46183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46183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51154-2023</t>
        </is>
      </c>
      <c r="B110" s="1" t="n">
        <v>45219</v>
      </c>
      <c r="C110" s="1" t="n">
        <v>46183</v>
      </c>
      <c r="D110" t="inlineStr">
        <is>
          <t>VÄSTRA GÖTALANDS LÄN</t>
        </is>
      </c>
      <c r="E110" t="inlineStr">
        <is>
          <t>HÄRRYDA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52164-2023</t>
        </is>
      </c>
      <c r="B111" s="1" t="n">
        <v>45224</v>
      </c>
      <c r="C111" s="1" t="n">
        <v>46183</v>
      </c>
      <c r="D111" t="inlineStr">
        <is>
          <t>VÄSTRA GÖTALANDS LÄN</t>
        </is>
      </c>
      <c r="E111" t="inlineStr">
        <is>
          <t>HÄRRYDA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52166-2023</t>
        </is>
      </c>
      <c r="B112" s="1" t="n">
        <v>45224.3316550926</v>
      </c>
      <c r="C112" s="1" t="n">
        <v>46183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7356-2025</t>
        </is>
      </c>
      <c r="B113" s="1" t="n">
        <v>45704.50445601852</v>
      </c>
      <c r="C113" s="1" t="n">
        <v>46183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9492-2025</t>
        </is>
      </c>
      <c r="B114" s="1" t="n">
        <v>45715.49974537037</v>
      </c>
      <c r="C114" s="1" t="n">
        <v>46183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9494-2025</t>
        </is>
      </c>
      <c r="B115" s="1" t="n">
        <v>45715.503125</v>
      </c>
      <c r="C115" s="1" t="n">
        <v>46183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9785-2026</t>
        </is>
      </c>
      <c r="B116" s="1" t="n">
        <v>46072.59296296296</v>
      </c>
      <c r="C116" s="1" t="n">
        <v>46183</v>
      </c>
      <c r="D116" t="inlineStr">
        <is>
          <t>VÄSTRA GÖTALANDS LÄN</t>
        </is>
      </c>
      <c r="E116" t="inlineStr">
        <is>
          <t>HÄRRYDA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13951-2026</t>
        </is>
      </c>
      <c r="B117" s="1" t="n">
        <v>46098.54512731481</v>
      </c>
      <c r="C117" s="1" t="n">
        <v>46183</v>
      </c>
      <c r="D117" t="inlineStr">
        <is>
          <t>VÄSTRA GÖTALANDS LÄN</t>
        </is>
      </c>
      <c r="E117" t="inlineStr">
        <is>
          <t>HÄRRYDA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7575-2025</t>
        </is>
      </c>
      <c r="B118" s="1" t="n">
        <v>45705</v>
      </c>
      <c r="C118" s="1" t="n">
        <v>46183</v>
      </c>
      <c r="D118" t="inlineStr">
        <is>
          <t>VÄSTRA GÖTALANDS LÄN</t>
        </is>
      </c>
      <c r="E118" t="inlineStr">
        <is>
          <t>HÄRRYDA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14473-2026</t>
        </is>
      </c>
      <c r="B119" s="1" t="n">
        <v>46100.56954861111</v>
      </c>
      <c r="C119" s="1" t="n">
        <v>46183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15698-2026</t>
        </is>
      </c>
      <c r="B120" s="1" t="n">
        <v>46107.34510416666</v>
      </c>
      <c r="C120" s="1" t="n">
        <v>46183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15700-2026</t>
        </is>
      </c>
      <c r="B121" s="1" t="n">
        <v>46107.34721064815</v>
      </c>
      <c r="C121" s="1" t="n">
        <v>46183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15704-2026</t>
        </is>
      </c>
      <c r="B122" s="1" t="n">
        <v>46107.35039351852</v>
      </c>
      <c r="C122" s="1" t="n">
        <v>46183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15401-2026</t>
        </is>
      </c>
      <c r="B123" s="1" t="n">
        <v>46106.36075231482</v>
      </c>
      <c r="C123" s="1" t="n">
        <v>46183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23492-2026</t>
        </is>
      </c>
      <c r="B124" s="1" t="n">
        <v>46163.43740740741</v>
      </c>
      <c r="C124" s="1" t="n">
        <v>46183</v>
      </c>
      <c r="D124" t="inlineStr">
        <is>
          <t>VÄSTRA GÖTALANDS LÄN</t>
        </is>
      </c>
      <c r="E124" t="inlineStr">
        <is>
          <t>HÄRRYDA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41725-2024</t>
        </is>
      </c>
      <c r="B125" s="1" t="n">
        <v>45560.86376157407</v>
      </c>
      <c r="C125" s="1" t="n">
        <v>46183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15480-2025</t>
        </is>
      </c>
      <c r="B126" s="1" t="n">
        <v>45747.55828703703</v>
      </c>
      <c r="C126" s="1" t="n">
        <v>46183</v>
      </c>
      <c r="D126" t="inlineStr">
        <is>
          <t>VÄSTRA GÖTALANDS LÄN</t>
        </is>
      </c>
      <c r="E126" t="inlineStr">
        <is>
          <t>HÄRRYDA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2026-06-10T09:29:18Z</dcterms:created>
  <dcterms:modified xmlns:dcterms="http://purl.org/dc/terms/" xmlns:xsi="http://www.w3.org/2001/XMLSchema-instance" xsi:type="dcterms:W3CDTF">2026-06-10T09:29:18Z</dcterms:modified>
</cp:coreProperties>
</file>