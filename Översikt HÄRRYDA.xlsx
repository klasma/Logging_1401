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45510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45510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45510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45510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45510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45510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45510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45510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14421-2024</t>
        </is>
      </c>
      <c r="B10" s="1" t="n">
        <v>45394</v>
      </c>
      <c r="C10" s="1" t="n">
        <v>45510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9.4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HYPERLINK("https://klasma.github.io/Logging_1401/artfynd/A 14421-2024 artfynd.xlsx", "A 14421-2024")</f>
        <v/>
      </c>
      <c r="T10">
        <f>HYPERLINK("https://klasma.github.io/Logging_1401/kartor/A 14421-2024 karta.png", "A 14421-2024")</f>
        <v/>
      </c>
      <c r="V10">
        <f>HYPERLINK("https://klasma.github.io/Logging_1401/klagomål/A 14421-2024 FSC-klagomål.docx", "A 14421-2024")</f>
        <v/>
      </c>
      <c r="W10">
        <f>HYPERLINK("https://klasma.github.io/Logging_1401/klagomålsmail/A 14421-2024 FSC-klagomål mail.docx", "A 14421-2024")</f>
        <v/>
      </c>
      <c r="X10">
        <f>HYPERLINK("https://klasma.github.io/Logging_1401/tillsyn/A 14421-2024 tillsynsbegäran.docx", "A 14421-2024")</f>
        <v/>
      </c>
      <c r="Y10">
        <f>HYPERLINK("https://klasma.github.io/Logging_1401/tillsynsmail/A 14421-2024 tillsynsbegäran mail.docx", "A 14421-2024")</f>
        <v/>
      </c>
      <c r="Z10">
        <f>HYPERLINK("https://klasma.github.io/Logging_1401/fåglar/A 14421-2024 prioriterade fågelarter.docx", "A 14421-2024")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45510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45510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45510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45510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45510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45510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45510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45510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45510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45510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45510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45510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41444-2023</t>
        </is>
      </c>
      <c r="B23" s="1" t="n">
        <v>45175</v>
      </c>
      <c r="C23" s="1" t="n">
        <v>45510</v>
      </c>
      <c r="D23" t="inlineStr">
        <is>
          <t>VÄSTRA GÖTALANDS LÄN</t>
        </is>
      </c>
      <c r="E23" t="inlineStr">
        <is>
          <t>HÄRRYDA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41444-2023 artfynd.xlsx", "A 41444-2023")</f>
        <v/>
      </c>
      <c r="T23">
        <f>HYPERLINK("https://klasma.github.io/Logging_1401/kartor/A 41444-2023 karta.png", "A 41444-2023")</f>
        <v/>
      </c>
      <c r="V23">
        <f>HYPERLINK("https://klasma.github.io/Logging_1401/klagomål/A 41444-2023 FSC-klagomål.docx", "A 41444-2023")</f>
        <v/>
      </c>
      <c r="W23">
        <f>HYPERLINK("https://klasma.github.io/Logging_1401/klagomålsmail/A 41444-2023 FSC-klagomål mail.docx", "A 41444-2023")</f>
        <v/>
      </c>
      <c r="X23">
        <f>HYPERLINK("https://klasma.github.io/Logging_1401/tillsyn/A 41444-2023 tillsynsbegäran.docx", "A 41444-2023")</f>
        <v/>
      </c>
      <c r="Y23">
        <f>HYPERLINK("https://klasma.github.io/Logging_1401/tillsynsmail/A 41444-2023 tillsynsbegäran mail.docx", "A 41444-2023")</f>
        <v/>
      </c>
    </row>
    <row r="24" ht="15" customHeight="1">
      <c r="A24" t="inlineStr">
        <is>
          <t>A 55686-2023</t>
        </is>
      </c>
      <c r="B24" s="1" t="n">
        <v>45239</v>
      </c>
      <c r="C24" s="1" t="n">
        <v>45510</v>
      </c>
      <c r="D24" t="inlineStr">
        <is>
          <t>VÄSTRA GÖTALANDS LÄN</t>
        </is>
      </c>
      <c r="E24" t="inlineStr">
        <is>
          <t>HÄRRYDA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55686-2023 artfynd.xlsx", "A 55686-2023")</f>
        <v/>
      </c>
      <c r="T24">
        <f>HYPERLINK("https://klasma.github.io/Logging_1401/kartor/A 55686-2023 karta.png", "A 55686-2023")</f>
        <v/>
      </c>
      <c r="V24">
        <f>HYPERLINK("https://klasma.github.io/Logging_1401/klagomål/A 55686-2023 FSC-klagomål.docx", "A 55686-2023")</f>
        <v/>
      </c>
      <c r="W24">
        <f>HYPERLINK("https://klasma.github.io/Logging_1401/klagomålsmail/A 55686-2023 FSC-klagomål mail.docx", "A 55686-2023")</f>
        <v/>
      </c>
      <c r="X24">
        <f>HYPERLINK("https://klasma.github.io/Logging_1401/tillsyn/A 55686-2023 tillsynsbegäran.docx", "A 55686-2023")</f>
        <v/>
      </c>
      <c r="Y24">
        <f>HYPERLINK("https://klasma.github.io/Logging_1401/tillsynsmail/A 55686-2023 tillsynsbegäran mail.docx", "A 55686-2023")</f>
        <v/>
      </c>
      <c r="Z24">
        <f>HYPERLINK("https://klasma.github.io/Logging_1401/fåglar/A 55686-2023 prioriterade fågelarter.docx", "A 55686-2023")</f>
        <v/>
      </c>
    </row>
    <row r="25" ht="15" customHeight="1">
      <c r="A25" t="inlineStr">
        <is>
          <t>A 14426-2024</t>
        </is>
      </c>
      <c r="B25" s="1" t="n">
        <v>45394</v>
      </c>
      <c r="C25" s="1" t="n">
        <v>45510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14426-2024 artfynd.xlsx", "A 14426-2024")</f>
        <v/>
      </c>
      <c r="T25">
        <f>HYPERLINK("https://klasma.github.io/Logging_1401/kartor/A 14426-2024 karta.png", "A 14426-2024")</f>
        <v/>
      </c>
      <c r="V25">
        <f>HYPERLINK("https://klasma.github.io/Logging_1401/klagomål/A 14426-2024 FSC-klagomål.docx", "A 14426-2024")</f>
        <v/>
      </c>
      <c r="W25">
        <f>HYPERLINK("https://klasma.github.io/Logging_1401/klagomålsmail/A 14426-2024 FSC-klagomål mail.docx", "A 14426-2024")</f>
        <v/>
      </c>
      <c r="X25">
        <f>HYPERLINK("https://klasma.github.io/Logging_1401/tillsyn/A 14426-2024 tillsynsbegäran.docx", "A 14426-2024")</f>
        <v/>
      </c>
      <c r="Y25">
        <f>HYPERLINK("https://klasma.github.io/Logging_1401/tillsynsmail/A 14426-2024 tillsynsbegäran mail.docx", "A 14426-2024")</f>
        <v/>
      </c>
    </row>
    <row r="26" ht="15" customHeight="1">
      <c r="A26" t="inlineStr">
        <is>
          <t>A 18489-2019</t>
        </is>
      </c>
      <c r="B26" s="1" t="n">
        <v>43559</v>
      </c>
      <c r="C26" s="1" t="n">
        <v>45510</v>
      </c>
      <c r="D26" t="inlineStr">
        <is>
          <t>VÄSTRA GÖTALANDS LÄN</t>
        </is>
      </c>
      <c r="E26" t="inlineStr">
        <is>
          <t>HÄRRYDA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19200-2019</t>
        </is>
      </c>
      <c r="B27" s="1" t="n">
        <v>43564</v>
      </c>
      <c r="C27" s="1" t="n">
        <v>45510</v>
      </c>
      <c r="D27" t="inlineStr">
        <is>
          <t>VÄSTRA GÖTALANDS LÄN</t>
        </is>
      </c>
      <c r="E27" t="inlineStr">
        <is>
          <t>HÄRRYDA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19688-2019</t>
        </is>
      </c>
      <c r="B28" s="1" t="n">
        <v>43566</v>
      </c>
      <c r="C28" s="1" t="n">
        <v>45510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19826-2019</t>
        </is>
      </c>
      <c r="B29" s="1" t="n">
        <v>43567</v>
      </c>
      <c r="C29" s="1" t="n">
        <v>45510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20315-2019</t>
        </is>
      </c>
      <c r="B30" s="1" t="n">
        <v>43570</v>
      </c>
      <c r="C30" s="1" t="n">
        <v>45510</v>
      </c>
      <c r="D30" t="inlineStr">
        <is>
          <t>VÄSTRA GÖTALANDS LÄN</t>
        </is>
      </c>
      <c r="E30" t="inlineStr">
        <is>
          <t>HÄRRYDA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22530-2019</t>
        </is>
      </c>
      <c r="B31" s="1" t="n">
        <v>43587</v>
      </c>
      <c r="C31" s="1" t="n">
        <v>45510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22860-2019</t>
        </is>
      </c>
      <c r="B32" s="1" t="n">
        <v>43591</v>
      </c>
      <c r="C32" s="1" t="n">
        <v>45510</v>
      </c>
      <c r="D32" t="inlineStr">
        <is>
          <t>VÄSTRA GÖTALANDS LÄN</t>
        </is>
      </c>
      <c r="E32" t="inlineStr">
        <is>
          <t>HÄRRYDA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23408-2019</t>
        </is>
      </c>
      <c r="B33" s="1" t="n">
        <v>43593</v>
      </c>
      <c r="C33" s="1" t="n">
        <v>45510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30800-2019</t>
        </is>
      </c>
      <c r="B34" s="1" t="n">
        <v>43636</v>
      </c>
      <c r="C34" s="1" t="n">
        <v>45510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31392-2019</t>
        </is>
      </c>
      <c r="B35" s="1" t="n">
        <v>43641</v>
      </c>
      <c r="C35" s="1" t="n">
        <v>45510</v>
      </c>
      <c r="D35" t="inlineStr">
        <is>
          <t>VÄSTRA GÖTALANDS LÄN</t>
        </is>
      </c>
      <c r="E35" t="inlineStr">
        <is>
          <t>HÄRRYDA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34993-2019</t>
        </is>
      </c>
      <c r="B36" s="1" t="n">
        <v>43660</v>
      </c>
      <c r="C36" s="1" t="n">
        <v>45510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49797-2019</t>
        </is>
      </c>
      <c r="B37" s="1" t="n">
        <v>43733</v>
      </c>
      <c r="C37" s="1" t="n">
        <v>45510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49806-2019</t>
        </is>
      </c>
      <c r="B38" s="1" t="n">
        <v>43733</v>
      </c>
      <c r="C38" s="1" t="n">
        <v>45510</v>
      </c>
      <c r="D38" t="inlineStr">
        <is>
          <t>VÄSTRA GÖTALANDS LÄN</t>
        </is>
      </c>
      <c r="E38" t="inlineStr">
        <is>
          <t>HÄRRYDA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50168-2019</t>
        </is>
      </c>
      <c r="B39" s="1" t="n">
        <v>43734</v>
      </c>
      <c r="C39" s="1" t="n">
        <v>45510</v>
      </c>
      <c r="D39" t="inlineStr">
        <is>
          <t>VÄSTRA GÖTALANDS LÄN</t>
        </is>
      </c>
      <c r="E39" t="inlineStr">
        <is>
          <t>HÄRRYDA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53137-2019</t>
        </is>
      </c>
      <c r="B40" s="1" t="n">
        <v>43740</v>
      </c>
      <c r="C40" s="1" t="n">
        <v>45510</v>
      </c>
      <c r="D40" t="inlineStr">
        <is>
          <t>VÄSTRA GÖTALANDS LÄN</t>
        </is>
      </c>
      <c r="E40" t="inlineStr">
        <is>
          <t>HÄRRYDA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64721-2019</t>
        </is>
      </c>
      <c r="B41" s="1" t="n">
        <v>43800</v>
      </c>
      <c r="C41" s="1" t="n">
        <v>45510</v>
      </c>
      <c r="D41" t="inlineStr">
        <is>
          <t>VÄSTRA GÖTALANDS LÄN</t>
        </is>
      </c>
      <c r="E41" t="inlineStr">
        <is>
          <t>HÄRRYDA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64722-2019</t>
        </is>
      </c>
      <c r="B42" s="1" t="n">
        <v>43800</v>
      </c>
      <c r="C42" s="1" t="n">
        <v>45510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64724-2019</t>
        </is>
      </c>
      <c r="B43" s="1" t="n">
        <v>43800</v>
      </c>
      <c r="C43" s="1" t="n">
        <v>45510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65186-2019</t>
        </is>
      </c>
      <c r="B44" s="1" t="n">
        <v>43802</v>
      </c>
      <c r="C44" s="1" t="n">
        <v>45510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65268-2019</t>
        </is>
      </c>
      <c r="B45" s="1" t="n">
        <v>43802</v>
      </c>
      <c r="C45" s="1" t="n">
        <v>45510</v>
      </c>
      <c r="D45" t="inlineStr">
        <is>
          <t>VÄSTRA GÖTALANDS LÄN</t>
        </is>
      </c>
      <c r="E45" t="inlineStr">
        <is>
          <t>HÄRRYDA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65693-2019</t>
        </is>
      </c>
      <c r="B46" s="1" t="n">
        <v>43804</v>
      </c>
      <c r="C46" s="1" t="n">
        <v>45510</v>
      </c>
      <c r="D46" t="inlineStr">
        <is>
          <t>VÄSTRA GÖTALANDS LÄN</t>
        </is>
      </c>
      <c r="E46" t="inlineStr">
        <is>
          <t>HÄRRYDA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65688-2019</t>
        </is>
      </c>
      <c r="B47" s="1" t="n">
        <v>43804</v>
      </c>
      <c r="C47" s="1" t="n">
        <v>45510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65687-2019</t>
        </is>
      </c>
      <c r="B48" s="1" t="n">
        <v>43804</v>
      </c>
      <c r="C48" s="1" t="n">
        <v>45510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65670-2019</t>
        </is>
      </c>
      <c r="B49" s="1" t="n">
        <v>43804</v>
      </c>
      <c r="C49" s="1" t="n">
        <v>45510</v>
      </c>
      <c r="D49" t="inlineStr">
        <is>
          <t>VÄSTRA GÖTALANDS LÄN</t>
        </is>
      </c>
      <c r="E49" t="inlineStr">
        <is>
          <t>HÄRRYDA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1502-2020</t>
        </is>
      </c>
      <c r="B50" s="1" t="n">
        <v>43826</v>
      </c>
      <c r="C50" s="1" t="n">
        <v>45510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587-2020</t>
        </is>
      </c>
      <c r="B51" s="1" t="n">
        <v>43838</v>
      </c>
      <c r="C51" s="1" t="n">
        <v>45510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6168-2020</t>
        </is>
      </c>
      <c r="B52" s="1" t="n">
        <v>43865</v>
      </c>
      <c r="C52" s="1" t="n">
        <v>45510</v>
      </c>
      <c r="D52" t="inlineStr">
        <is>
          <t>VÄSTRA GÖTALANDS LÄN</t>
        </is>
      </c>
      <c r="E52" t="inlineStr">
        <is>
          <t>HÄRRYDA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8467-2020</t>
        </is>
      </c>
      <c r="B53" s="1" t="n">
        <v>43875</v>
      </c>
      <c r="C53" s="1" t="n">
        <v>45510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10270-2020</t>
        </is>
      </c>
      <c r="B54" s="1" t="n">
        <v>43887</v>
      </c>
      <c r="C54" s="1" t="n">
        <v>45510</v>
      </c>
      <c r="D54" t="inlineStr">
        <is>
          <t>VÄSTRA GÖTALANDS LÄN</t>
        </is>
      </c>
      <c r="E54" t="inlineStr">
        <is>
          <t>HÄRRYDA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14779-2020</t>
        </is>
      </c>
      <c r="B55" s="1" t="n">
        <v>43909</v>
      </c>
      <c r="C55" s="1" t="n">
        <v>45510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15234-2020</t>
        </is>
      </c>
      <c r="B56" s="1" t="n">
        <v>43913</v>
      </c>
      <c r="C56" s="1" t="n">
        <v>45510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15265-2020</t>
        </is>
      </c>
      <c r="B57" s="1" t="n">
        <v>43913</v>
      </c>
      <c r="C57" s="1" t="n">
        <v>45510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15597-2020</t>
        </is>
      </c>
      <c r="B58" s="1" t="n">
        <v>43914</v>
      </c>
      <c r="C58" s="1" t="n">
        <v>45510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15846-2020</t>
        </is>
      </c>
      <c r="B59" s="1" t="n">
        <v>43915</v>
      </c>
      <c r="C59" s="1" t="n">
        <v>45510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18847-2020</t>
        </is>
      </c>
      <c r="B60" s="1" t="n">
        <v>43929</v>
      </c>
      <c r="C60" s="1" t="n">
        <v>45510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18849-2020</t>
        </is>
      </c>
      <c r="B61" s="1" t="n">
        <v>43929</v>
      </c>
      <c r="C61" s="1" t="n">
        <v>45510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21685-2020</t>
        </is>
      </c>
      <c r="B62" s="1" t="n">
        <v>43957</v>
      </c>
      <c r="C62" s="1" t="n">
        <v>45510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21682-2020</t>
        </is>
      </c>
      <c r="B63" s="1" t="n">
        <v>43957</v>
      </c>
      <c r="C63" s="1" t="n">
        <v>45510</v>
      </c>
      <c r="D63" t="inlineStr">
        <is>
          <t>VÄSTRA GÖTALANDS LÄN</t>
        </is>
      </c>
      <c r="E63" t="inlineStr">
        <is>
          <t>HÄRRYDA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24733-2020</t>
        </is>
      </c>
      <c r="B64" s="1" t="n">
        <v>43978</v>
      </c>
      <c r="C64" s="1" t="n">
        <v>45510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33262-2020</t>
        </is>
      </c>
      <c r="B65" s="1" t="n">
        <v>44022</v>
      </c>
      <c r="C65" s="1" t="n">
        <v>45510</v>
      </c>
      <c r="D65" t="inlineStr">
        <is>
          <t>VÄSTRA GÖTALANDS LÄN</t>
        </is>
      </c>
      <c r="E65" t="inlineStr">
        <is>
          <t>HÄRRYDA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37987-2020</t>
        </is>
      </c>
      <c r="B66" s="1" t="n">
        <v>44057</v>
      </c>
      <c r="C66" s="1" t="n">
        <v>45510</v>
      </c>
      <c r="D66" t="inlineStr">
        <is>
          <t>VÄSTRA GÖTALANDS LÄN</t>
        </is>
      </c>
      <c r="E66" t="inlineStr">
        <is>
          <t>HÄRRYDA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37989-2020</t>
        </is>
      </c>
      <c r="B67" s="1" t="n">
        <v>44057</v>
      </c>
      <c r="C67" s="1" t="n">
        <v>45510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43194-2020</t>
        </is>
      </c>
      <c r="B68" s="1" t="n">
        <v>44081</v>
      </c>
      <c r="C68" s="1" t="n">
        <v>45510</v>
      </c>
      <c r="D68" t="inlineStr">
        <is>
          <t>VÄSTRA GÖTALANDS LÄN</t>
        </is>
      </c>
      <c r="E68" t="inlineStr">
        <is>
          <t>HÄRRYDA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43198-2020</t>
        </is>
      </c>
      <c r="B69" s="1" t="n">
        <v>44081</v>
      </c>
      <c r="C69" s="1" t="n">
        <v>45510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43202-2020</t>
        </is>
      </c>
      <c r="B70" s="1" t="n">
        <v>44081</v>
      </c>
      <c r="C70" s="1" t="n">
        <v>45510</v>
      </c>
      <c r="D70" t="inlineStr">
        <is>
          <t>VÄSTRA GÖTALANDS LÄN</t>
        </is>
      </c>
      <c r="E70" t="inlineStr">
        <is>
          <t>HÄRRYDA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44647-2020</t>
        </is>
      </c>
      <c r="B71" s="1" t="n">
        <v>44085</v>
      </c>
      <c r="C71" s="1" t="n">
        <v>45510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49344-2020</t>
        </is>
      </c>
      <c r="B72" s="1" t="n">
        <v>44105</v>
      </c>
      <c r="C72" s="1" t="n">
        <v>45510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49333-2020</t>
        </is>
      </c>
      <c r="B73" s="1" t="n">
        <v>44105</v>
      </c>
      <c r="C73" s="1" t="n">
        <v>45510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51650-2020</t>
        </is>
      </c>
      <c r="B74" s="1" t="n">
        <v>44113</v>
      </c>
      <c r="C74" s="1" t="n">
        <v>45510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57067-2020</t>
        </is>
      </c>
      <c r="B75" s="1" t="n">
        <v>44138</v>
      </c>
      <c r="C75" s="1" t="n">
        <v>45510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64132-2020</t>
        </is>
      </c>
      <c r="B76" s="1" t="n">
        <v>44167</v>
      </c>
      <c r="C76" s="1" t="n">
        <v>45510</v>
      </c>
      <c r="D76" t="inlineStr">
        <is>
          <t>VÄSTRA GÖTALANDS LÄN</t>
        </is>
      </c>
      <c r="E76" t="inlineStr">
        <is>
          <t>HÄRRYDA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65462-2020</t>
        </is>
      </c>
      <c r="B77" s="1" t="n">
        <v>44173</v>
      </c>
      <c r="C77" s="1" t="n">
        <v>45510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67350-2020</t>
        </is>
      </c>
      <c r="B78" s="1" t="n">
        <v>44181</v>
      </c>
      <c r="C78" s="1" t="n">
        <v>45510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3655-2021</t>
        </is>
      </c>
      <c r="B79" s="1" t="n">
        <v>44221</v>
      </c>
      <c r="C79" s="1" t="n">
        <v>45510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3648-2021</t>
        </is>
      </c>
      <c r="B80" s="1" t="n">
        <v>44221</v>
      </c>
      <c r="C80" s="1" t="n">
        <v>45510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3662-2021</t>
        </is>
      </c>
      <c r="B81" s="1" t="n">
        <v>44221</v>
      </c>
      <c r="C81" s="1" t="n">
        <v>45510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3670-2021</t>
        </is>
      </c>
      <c r="B82" s="1" t="n">
        <v>44221</v>
      </c>
      <c r="C82" s="1" t="n">
        <v>45510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3633-2021</t>
        </is>
      </c>
      <c r="B83" s="1" t="n">
        <v>44221</v>
      </c>
      <c r="C83" s="1" t="n">
        <v>45510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3644-2021</t>
        </is>
      </c>
      <c r="B84" s="1" t="n">
        <v>44221</v>
      </c>
      <c r="C84" s="1" t="n">
        <v>45510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45510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3642-2021</t>
        </is>
      </c>
      <c r="B86" s="1" t="n">
        <v>44221</v>
      </c>
      <c r="C86" s="1" t="n">
        <v>45510</v>
      </c>
      <c r="D86" t="inlineStr">
        <is>
          <t>VÄSTRA GÖTALANDS LÄN</t>
        </is>
      </c>
      <c r="E86" t="inlineStr">
        <is>
          <t>HÄRRYDA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8001-2021</t>
        </is>
      </c>
      <c r="B87" s="1" t="n">
        <v>44243</v>
      </c>
      <c r="C87" s="1" t="n">
        <v>45510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9512-2021</t>
        </is>
      </c>
      <c r="B88" s="1" t="n">
        <v>44251</v>
      </c>
      <c r="C88" s="1" t="n">
        <v>45510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45510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10351-2021</t>
        </is>
      </c>
      <c r="B90" s="1" t="n">
        <v>44257</v>
      </c>
      <c r="C90" s="1" t="n">
        <v>45510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12262-2021</t>
        </is>
      </c>
      <c r="B91" s="1" t="n">
        <v>44266</v>
      </c>
      <c r="C91" s="1" t="n">
        <v>45510</v>
      </c>
      <c r="D91" t="inlineStr">
        <is>
          <t>VÄSTRA GÖTALANDS LÄN</t>
        </is>
      </c>
      <c r="E91" t="inlineStr">
        <is>
          <t>HÄRRYDA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12906-2021</t>
        </is>
      </c>
      <c r="B92" s="1" t="n">
        <v>44271</v>
      </c>
      <c r="C92" s="1" t="n">
        <v>45510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45510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14349-2021</t>
        </is>
      </c>
      <c r="B94" s="1" t="n">
        <v>44278</v>
      </c>
      <c r="C94" s="1" t="n">
        <v>45510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14688-2021</t>
        </is>
      </c>
      <c r="B95" s="1" t="n">
        <v>44280</v>
      </c>
      <c r="C95" s="1" t="n">
        <v>45510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15732-2021</t>
        </is>
      </c>
      <c r="B96" s="1" t="n">
        <v>44286</v>
      </c>
      <c r="C96" s="1" t="n">
        <v>45510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17992-2021</t>
        </is>
      </c>
      <c r="B97" s="1" t="n">
        <v>44301</v>
      </c>
      <c r="C97" s="1" t="n">
        <v>45510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17860-2021</t>
        </is>
      </c>
      <c r="B98" s="1" t="n">
        <v>44301</v>
      </c>
      <c r="C98" s="1" t="n">
        <v>45510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21578-2021</t>
        </is>
      </c>
      <c r="B99" s="1" t="n">
        <v>44321</v>
      </c>
      <c r="C99" s="1" t="n">
        <v>45510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25222-2021</t>
        </is>
      </c>
      <c r="B100" s="1" t="n">
        <v>44342</v>
      </c>
      <c r="C100" s="1" t="n">
        <v>45510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25267-2021</t>
        </is>
      </c>
      <c r="B101" s="1" t="n">
        <v>44342</v>
      </c>
      <c r="C101" s="1" t="n">
        <v>45510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25967-2021</t>
        </is>
      </c>
      <c r="B102" s="1" t="n">
        <v>44344</v>
      </c>
      <c r="C102" s="1" t="n">
        <v>45510</v>
      </c>
      <c r="D102" t="inlineStr">
        <is>
          <t>VÄSTRA GÖTALANDS LÄN</t>
        </is>
      </c>
      <c r="E102" t="inlineStr">
        <is>
          <t>HÄRRYDA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27546-2021</t>
        </is>
      </c>
      <c r="B103" s="1" t="n">
        <v>44351</v>
      </c>
      <c r="C103" s="1" t="n">
        <v>45510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36741-2021</t>
        </is>
      </c>
      <c r="B104" s="1" t="n">
        <v>44392</v>
      </c>
      <c r="C104" s="1" t="n">
        <v>45510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50417-2021</t>
        </is>
      </c>
      <c r="B105" s="1" t="n">
        <v>44459</v>
      </c>
      <c r="C105" s="1" t="n">
        <v>45510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53200-2021</t>
        </is>
      </c>
      <c r="B106" s="1" t="n">
        <v>44468</v>
      </c>
      <c r="C106" s="1" t="n">
        <v>45510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53204-2021</t>
        </is>
      </c>
      <c r="B107" s="1" t="n">
        <v>44468</v>
      </c>
      <c r="C107" s="1" t="n">
        <v>45510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58926-2021</t>
        </is>
      </c>
      <c r="B108" s="1" t="n">
        <v>44489</v>
      </c>
      <c r="C108" s="1" t="n">
        <v>45510</v>
      </c>
      <c r="D108" t="inlineStr">
        <is>
          <t>VÄSTRA GÖTALANDS LÄN</t>
        </is>
      </c>
      <c r="E108" t="inlineStr">
        <is>
          <t>HÄRRYDA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59767-2021</t>
        </is>
      </c>
      <c r="B109" s="1" t="n">
        <v>44494</v>
      </c>
      <c r="C109" s="1" t="n">
        <v>45510</v>
      </c>
      <c r="D109" t="inlineStr">
        <is>
          <t>VÄSTRA GÖTALANDS LÄN</t>
        </is>
      </c>
      <c r="E109" t="inlineStr">
        <is>
          <t>HÄRRYDA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45510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63596-2021</t>
        </is>
      </c>
      <c r="B111" s="1" t="n">
        <v>44508</v>
      </c>
      <c r="C111" s="1" t="n">
        <v>45510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63595-2021</t>
        </is>
      </c>
      <c r="B112" s="1" t="n">
        <v>44508</v>
      </c>
      <c r="C112" s="1" t="n">
        <v>45510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67798-2021</t>
        </is>
      </c>
      <c r="B113" s="1" t="n">
        <v>44525</v>
      </c>
      <c r="C113" s="1" t="n">
        <v>45510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45510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71648-2021</t>
        </is>
      </c>
      <c r="B115" s="1" t="n">
        <v>44543</v>
      </c>
      <c r="C115" s="1" t="n">
        <v>45510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72891-2021</t>
        </is>
      </c>
      <c r="B116" s="1" t="n">
        <v>44547</v>
      </c>
      <c r="C116" s="1" t="n">
        <v>45510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1551-2022</t>
        </is>
      </c>
      <c r="B117" s="1" t="n">
        <v>44573</v>
      </c>
      <c r="C117" s="1" t="n">
        <v>45510</v>
      </c>
      <c r="D117" t="inlineStr">
        <is>
          <t>VÄSTRA GÖTALANDS LÄN</t>
        </is>
      </c>
      <c r="E117" t="inlineStr">
        <is>
          <t>HÄRRYDA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6111-2022</t>
        </is>
      </c>
      <c r="B118" s="1" t="n">
        <v>44599</v>
      </c>
      <c r="C118" s="1" t="n">
        <v>45510</v>
      </c>
      <c r="D118" t="inlineStr">
        <is>
          <t>VÄSTRA GÖTALANDS LÄN</t>
        </is>
      </c>
      <c r="E118" t="inlineStr">
        <is>
          <t>HÄRRYDA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9165-2022</t>
        </is>
      </c>
      <c r="B119" s="1" t="n">
        <v>44615</v>
      </c>
      <c r="C119" s="1" t="n">
        <v>45510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10460-2022</t>
        </is>
      </c>
      <c r="B120" s="1" t="n">
        <v>44623</v>
      </c>
      <c r="C120" s="1" t="n">
        <v>45510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11451-2022</t>
        </is>
      </c>
      <c r="B121" s="1" t="n">
        <v>44630</v>
      </c>
      <c r="C121" s="1" t="n">
        <v>45510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15683-2022</t>
        </is>
      </c>
      <c r="B122" s="1" t="n">
        <v>44663</v>
      </c>
      <c r="C122" s="1" t="n">
        <v>45510</v>
      </c>
      <c r="D122" t="inlineStr">
        <is>
          <t>VÄSTRA GÖTALANDS LÄN</t>
        </is>
      </c>
      <c r="E122" t="inlineStr">
        <is>
          <t>HÄRRYDA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19782-2022</t>
        </is>
      </c>
      <c r="B123" s="1" t="n">
        <v>44694</v>
      </c>
      <c r="C123" s="1" t="n">
        <v>45510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19972-2022</t>
        </is>
      </c>
      <c r="B124" s="1" t="n">
        <v>44697</v>
      </c>
      <c r="C124" s="1" t="n">
        <v>45510</v>
      </c>
      <c r="D124" t="inlineStr">
        <is>
          <t>VÄSTRA GÖTALANDS LÄN</t>
        </is>
      </c>
      <c r="E124" t="inlineStr">
        <is>
          <t>HÄRRYDA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19977-2022</t>
        </is>
      </c>
      <c r="B125" s="1" t="n">
        <v>44697</v>
      </c>
      <c r="C125" s="1" t="n">
        <v>45510</v>
      </c>
      <c r="D125" t="inlineStr">
        <is>
          <t>VÄSTRA GÖTALANDS LÄN</t>
        </is>
      </c>
      <c r="E125" t="inlineStr">
        <is>
          <t>HÄRRYDA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21780-2022</t>
        </is>
      </c>
      <c r="B126" s="1" t="n">
        <v>44708</v>
      </c>
      <c r="C126" s="1" t="n">
        <v>45510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</v>
      </c>
      <c r="C127" s="1" t="n">
        <v>45510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25504-2022</t>
        </is>
      </c>
      <c r="B128" s="1" t="n">
        <v>44732</v>
      </c>
      <c r="C128" s="1" t="n">
        <v>45510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25439-2022</t>
        </is>
      </c>
      <c r="B129" s="1" t="n">
        <v>44732</v>
      </c>
      <c r="C129" s="1" t="n">
        <v>45510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</v>
      </c>
      <c r="C130" s="1" t="n">
        <v>45510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25726-2022</t>
        </is>
      </c>
      <c r="B131" s="1" t="n">
        <v>44733</v>
      </c>
      <c r="C131" s="1" t="n">
        <v>45510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32869-2022</t>
        </is>
      </c>
      <c r="B132" s="1" t="n">
        <v>44784</v>
      </c>
      <c r="C132" s="1" t="n">
        <v>45510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32873-2022</t>
        </is>
      </c>
      <c r="B133" s="1" t="n">
        <v>44784</v>
      </c>
      <c r="C133" s="1" t="n">
        <v>45510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45510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45510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52045-2022</t>
        </is>
      </c>
      <c r="B136" s="1" t="n">
        <v>44873</v>
      </c>
      <c r="C136" s="1" t="n">
        <v>45510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53961-2022</t>
        </is>
      </c>
      <c r="B137" s="1" t="n">
        <v>44881</v>
      </c>
      <c r="C137" s="1" t="n">
        <v>45510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58481-2022</t>
        </is>
      </c>
      <c r="B138" s="1" t="n">
        <v>44902</v>
      </c>
      <c r="C138" s="1" t="n">
        <v>45510</v>
      </c>
      <c r="D138" t="inlineStr">
        <is>
          <t>VÄSTRA GÖTALANDS LÄN</t>
        </is>
      </c>
      <c r="E138" t="inlineStr">
        <is>
          <t>HÄRRYDA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59244-2022</t>
        </is>
      </c>
      <c r="B139" s="1" t="n">
        <v>44904</v>
      </c>
      <c r="C139" s="1" t="n">
        <v>45510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</v>
      </c>
      <c r="C140" s="1" t="n">
        <v>45510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45510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3229-2023</t>
        </is>
      </c>
      <c r="B142" s="1" t="n">
        <v>44946</v>
      </c>
      <c r="C142" s="1" t="n">
        <v>45510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5630-2023</t>
        </is>
      </c>
      <c r="B143" s="1" t="n">
        <v>44960</v>
      </c>
      <c r="C143" s="1" t="n">
        <v>45510</v>
      </c>
      <c r="D143" t="inlineStr">
        <is>
          <t>VÄSTRA GÖTALANDS LÄN</t>
        </is>
      </c>
      <c r="E143" t="inlineStr">
        <is>
          <t>HÄRRYDA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5628-2023</t>
        </is>
      </c>
      <c r="B144" s="1" t="n">
        <v>44960</v>
      </c>
      <c r="C144" s="1" t="n">
        <v>45510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13108-2023</t>
        </is>
      </c>
      <c r="B145" s="1" t="n">
        <v>45002</v>
      </c>
      <c r="C145" s="1" t="n">
        <v>45510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14468-2023</t>
        </is>
      </c>
      <c r="B146" s="1" t="n">
        <v>45012</v>
      </c>
      <c r="C146" s="1" t="n">
        <v>45510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16723-2023</t>
        </is>
      </c>
      <c r="B147" s="1" t="n">
        <v>45030</v>
      </c>
      <c r="C147" s="1" t="n">
        <v>45510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17794-2023</t>
        </is>
      </c>
      <c r="B148" s="1" t="n">
        <v>45037</v>
      </c>
      <c r="C148" s="1" t="n">
        <v>45510</v>
      </c>
      <c r="D148" t="inlineStr">
        <is>
          <t>VÄSTRA GÖTALANDS LÄN</t>
        </is>
      </c>
      <c r="E148" t="inlineStr">
        <is>
          <t>HÄRRYDA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17825-2023</t>
        </is>
      </c>
      <c r="B149" s="1" t="n">
        <v>45037</v>
      </c>
      <c r="C149" s="1" t="n">
        <v>45510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17827-2023</t>
        </is>
      </c>
      <c r="B150" s="1" t="n">
        <v>45037</v>
      </c>
      <c r="C150" s="1" t="n">
        <v>45510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</v>
      </c>
      <c r="C151" s="1" t="n">
        <v>45510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21100-2023</t>
        </is>
      </c>
      <c r="B152" s="1" t="n">
        <v>45061</v>
      </c>
      <c r="C152" s="1" t="n">
        <v>45510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21097-2023</t>
        </is>
      </c>
      <c r="B153" s="1" t="n">
        <v>45062</v>
      </c>
      <c r="C153" s="1" t="n">
        <v>45510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45510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21800-2023</t>
        </is>
      </c>
      <c r="B155" s="1" t="n">
        <v>45067</v>
      </c>
      <c r="C155" s="1" t="n">
        <v>45510</v>
      </c>
      <c r="D155" t="inlineStr">
        <is>
          <t>VÄSTRA GÖTALANDS LÄN</t>
        </is>
      </c>
      <c r="E155" t="inlineStr">
        <is>
          <t>HÄRRYDA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22606-2023</t>
        </is>
      </c>
      <c r="B156" s="1" t="n">
        <v>45071</v>
      </c>
      <c r="C156" s="1" t="n">
        <v>45510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22614-2023</t>
        </is>
      </c>
      <c r="B157" s="1" t="n">
        <v>45071</v>
      </c>
      <c r="C157" s="1" t="n">
        <v>45510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28836-2023</t>
        </is>
      </c>
      <c r="B158" s="1" t="n">
        <v>45104</v>
      </c>
      <c r="C158" s="1" t="n">
        <v>45510</v>
      </c>
      <c r="D158" t="inlineStr">
        <is>
          <t>VÄSTRA GÖTALANDS LÄN</t>
        </is>
      </c>
      <c r="E158" t="inlineStr">
        <is>
          <t>HÄRRYDA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28840-2023</t>
        </is>
      </c>
      <c r="B159" s="1" t="n">
        <v>45104</v>
      </c>
      <c r="C159" s="1" t="n">
        <v>45510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29697-2023</t>
        </is>
      </c>
      <c r="B160" s="1" t="n">
        <v>45107</v>
      </c>
      <c r="C160" s="1" t="n">
        <v>45510</v>
      </c>
      <c r="D160" t="inlineStr">
        <is>
          <t>VÄSTRA GÖTALANDS LÄN</t>
        </is>
      </c>
      <c r="E160" t="inlineStr">
        <is>
          <t>HÄRRYDA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29696-2023</t>
        </is>
      </c>
      <c r="B161" s="1" t="n">
        <v>45107</v>
      </c>
      <c r="C161" s="1" t="n">
        <v>45510</v>
      </c>
      <c r="D161" t="inlineStr">
        <is>
          <t>VÄSTRA GÖTALANDS LÄN</t>
        </is>
      </c>
      <c r="E161" t="inlineStr">
        <is>
          <t>HÄRRYDA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29826-2023</t>
        </is>
      </c>
      <c r="B162" s="1" t="n">
        <v>45107</v>
      </c>
      <c r="C162" s="1" t="n">
        <v>45510</v>
      </c>
      <c r="D162" t="inlineStr">
        <is>
          <t>VÄSTRA GÖTALANDS LÄN</t>
        </is>
      </c>
      <c r="E162" t="inlineStr">
        <is>
          <t>HÄRRYDA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45510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45510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45510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45510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45510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45510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45510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45510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45510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45510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45510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45510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45510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45510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45510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45510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45510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45510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45510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45510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45510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45510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45510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45510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45510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45510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45510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45510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45510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45510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45510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45510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45510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45510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45510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45510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45510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45510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45510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45510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45510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45510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45510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45510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45510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45510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45510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45510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45510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45510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45510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45510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45510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45510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45510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45510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45510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45510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45510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45510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45510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45510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45510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45510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45510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45510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45510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45510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45510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45510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45510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45510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2024-08-06T10:58:18Z</dcterms:created>
  <dcterms:modified xmlns:dcterms="http://purl.org/dc/terms/" xmlns:xsi="http://www.w3.org/2001/XMLSchema-instance" xsi:type="dcterms:W3CDTF">2024-08-06T10:58:18Z</dcterms:modified>
</cp:coreProperties>
</file>