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45849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45849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45849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45849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45849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45849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45849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45849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45849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45849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45849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45849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45849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45849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45849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45849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45849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45849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45849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45849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45849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45849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45849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43194-2020</t>
        </is>
      </c>
      <c r="B25" s="1" t="n">
        <v>44081</v>
      </c>
      <c r="C25" s="1" t="n">
        <v>45849</v>
      </c>
      <c r="D25" t="inlineStr">
        <is>
          <t>VÄSTRA GÖTALANDS LÄN</t>
        </is>
      </c>
      <c r="E25" t="inlineStr">
        <is>
          <t>HÄRRYDA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43194-2020 artfynd.xlsx", "A 43194-2020")</f>
        <v/>
      </c>
      <c r="T25">
        <f>HYPERLINK("https://klasma.github.io/Logging_1401/kartor/A 43194-2020 karta.png", "A 43194-2020")</f>
        <v/>
      </c>
      <c r="V25">
        <f>HYPERLINK("https://klasma.github.io/Logging_1401/klagomål/A 43194-2020 FSC-klagomål.docx", "A 43194-2020")</f>
        <v/>
      </c>
      <c r="W25">
        <f>HYPERLINK("https://klasma.github.io/Logging_1401/klagomålsmail/A 43194-2020 FSC-klagomål mail.docx", "A 43194-2020")</f>
        <v/>
      </c>
      <c r="X25">
        <f>HYPERLINK("https://klasma.github.io/Logging_1401/tillsyn/A 43194-2020 tillsynsbegäran.docx", "A 43194-2020")</f>
        <v/>
      </c>
      <c r="Y25">
        <f>HYPERLINK("https://klasma.github.io/Logging_1401/tillsynsmail/A 43194-2020 tillsynsbegäran mail.docx", "A 43194-2020")</f>
        <v/>
      </c>
    </row>
    <row r="26" ht="15" customHeight="1">
      <c r="A26" t="inlineStr">
        <is>
          <t>A 64734-2020</t>
        </is>
      </c>
      <c r="B26" s="1" t="n">
        <v>44169</v>
      </c>
      <c r="C26" s="1" t="n">
        <v>45849</v>
      </c>
      <c r="D26" t="inlineStr">
        <is>
          <t>VÄSTRA GÖTALANDS LÄN</t>
        </is>
      </c>
      <c r="E26" t="inlineStr">
        <is>
          <t>HÄRRYDA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HYPERLINK("https://klasma.github.io/Logging_1401/artfynd/A 64734-2020 artfynd.xlsx", "A 64734-2020")</f>
        <v/>
      </c>
      <c r="T26">
        <f>HYPERLINK("https://klasma.github.io/Logging_1401/kartor/A 64734-2020 karta.png", "A 64734-2020")</f>
        <v/>
      </c>
      <c r="V26">
        <f>HYPERLINK("https://klasma.github.io/Logging_1401/klagomål/A 64734-2020 FSC-klagomål.docx", "A 64734-2020")</f>
        <v/>
      </c>
      <c r="W26">
        <f>HYPERLINK("https://klasma.github.io/Logging_1401/klagomålsmail/A 64734-2020 FSC-klagomål mail.docx", "A 64734-2020")</f>
        <v/>
      </c>
      <c r="X26">
        <f>HYPERLINK("https://klasma.github.io/Logging_1401/tillsyn/A 64734-2020 tillsynsbegäran.docx", "A 64734-2020")</f>
        <v/>
      </c>
      <c r="Y26">
        <f>HYPERLINK("https://klasma.github.io/Logging_1401/tillsynsmail/A 64734-2020 tillsynsbegäran mail.docx", "A 64734-2020")</f>
        <v/>
      </c>
      <c r="Z26">
        <f>HYPERLINK("https://klasma.github.io/Logging_1401/fåglar/A 64734-2020 prioriterade fågelarter.docx", "A 64734-2020")</f>
        <v/>
      </c>
    </row>
    <row r="27" ht="15" customHeight="1">
      <c r="A27" t="inlineStr">
        <is>
          <t>A 7814-2021</t>
        </is>
      </c>
      <c r="B27" s="1" t="n">
        <v>44242</v>
      </c>
      <c r="C27" s="1" t="n">
        <v>45849</v>
      </c>
      <c r="D27" t="inlineStr">
        <is>
          <t>VÄSTRA GÖTALANDS LÄN</t>
        </is>
      </c>
      <c r="E27" t="inlineStr">
        <is>
          <t>HÄRRYDA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HYPERLINK("https://klasma.github.io/Logging_1401/artfynd/A 7814-2021 artfynd.xlsx", "A 7814-2021")</f>
        <v/>
      </c>
      <c r="T27">
        <f>HYPERLINK("https://klasma.github.io/Logging_1401/kartor/A 7814-2021 karta.png", "A 7814-2021")</f>
        <v/>
      </c>
      <c r="V27">
        <f>HYPERLINK("https://klasma.github.io/Logging_1401/klagomål/A 7814-2021 FSC-klagomål.docx", "A 7814-2021")</f>
        <v/>
      </c>
      <c r="W27">
        <f>HYPERLINK("https://klasma.github.io/Logging_1401/klagomålsmail/A 7814-2021 FSC-klagomål mail.docx", "A 7814-2021")</f>
        <v/>
      </c>
      <c r="X27">
        <f>HYPERLINK("https://klasma.github.io/Logging_1401/tillsyn/A 7814-2021 tillsynsbegäran.docx", "A 7814-2021")</f>
        <v/>
      </c>
      <c r="Y27">
        <f>HYPERLINK("https://klasma.github.io/Logging_1401/tillsynsmail/A 7814-2021 tillsynsbegäran mail.docx", "A 7814-2021")</f>
        <v/>
      </c>
    </row>
    <row r="28" ht="15" customHeight="1">
      <c r="A28" t="inlineStr">
        <is>
          <t>A 53203-2021</t>
        </is>
      </c>
      <c r="B28" s="1" t="n">
        <v>44468</v>
      </c>
      <c r="C28" s="1" t="n">
        <v>45849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HYPERLINK("https://klasma.github.io/Logging_1401/artfynd/A 53203-2021 artfynd.xlsx", "A 53203-2021")</f>
        <v/>
      </c>
      <c r="T28">
        <f>HYPERLINK("https://klasma.github.io/Logging_1401/kartor/A 53203-2021 karta.png", "A 53203-2021")</f>
        <v/>
      </c>
      <c r="V28">
        <f>HYPERLINK("https://klasma.github.io/Logging_1401/klagomål/A 53203-2021 FSC-klagomål.docx", "A 53203-2021")</f>
        <v/>
      </c>
      <c r="W28">
        <f>HYPERLINK("https://klasma.github.io/Logging_1401/klagomålsmail/A 53203-2021 FSC-klagomål mail.docx", "A 53203-2021")</f>
        <v/>
      </c>
      <c r="X28">
        <f>HYPERLINK("https://klasma.github.io/Logging_1401/tillsyn/A 53203-2021 tillsynsbegäran.docx", "A 53203-2021")</f>
        <v/>
      </c>
      <c r="Y28">
        <f>HYPERLINK("https://klasma.github.io/Logging_1401/tillsynsmail/A 53203-2021 tillsynsbegäran mail.docx", "A 53203-2021")</f>
        <v/>
      </c>
    </row>
    <row r="29" ht="15" customHeight="1">
      <c r="A29" t="inlineStr">
        <is>
          <t>A 64860-2021</t>
        </is>
      </c>
      <c r="B29" s="1" t="n">
        <v>44512</v>
      </c>
      <c r="C29" s="1" t="n">
        <v>45849</v>
      </c>
      <c r="D29" t="inlineStr">
        <is>
          <t>VÄSTRA GÖTALANDS LÄN</t>
        </is>
      </c>
      <c r="E29" t="inlineStr">
        <is>
          <t>HÄRRYDA</t>
        </is>
      </c>
      <c r="F29" t="inlineStr">
        <is>
          <t>Kommuner</t>
        </is>
      </c>
      <c r="G29" t="n">
        <v>21.3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HYPERLINK("https://klasma.github.io/Logging_1401/artfynd/A 64860-2021 artfynd.xlsx", "A 64860-2021")</f>
        <v/>
      </c>
      <c r="T29">
        <f>HYPERLINK("https://klasma.github.io/Logging_1401/kartor/A 64860-2021 karta.png", "A 64860-2021")</f>
        <v/>
      </c>
      <c r="V29">
        <f>HYPERLINK("https://klasma.github.io/Logging_1401/klagomål/A 64860-2021 FSC-klagomål.docx", "A 64860-2021")</f>
        <v/>
      </c>
      <c r="W29">
        <f>HYPERLINK("https://klasma.github.io/Logging_1401/klagomålsmail/A 64860-2021 FSC-klagomål mail.docx", "A 64860-2021")</f>
        <v/>
      </c>
      <c r="X29">
        <f>HYPERLINK("https://klasma.github.io/Logging_1401/tillsyn/A 64860-2021 tillsynsbegäran.docx", "A 64860-2021")</f>
        <v/>
      </c>
      <c r="Y29">
        <f>HYPERLINK("https://klasma.github.io/Logging_1401/tillsynsmail/A 64860-2021 tillsynsbegäran mail.docx", "A 64860-2021")</f>
        <v/>
      </c>
    </row>
    <row r="30" ht="15" customHeight="1">
      <c r="A30" t="inlineStr">
        <is>
          <t>A 20640-2022</t>
        </is>
      </c>
      <c r="B30" s="1" t="n">
        <v>44700</v>
      </c>
      <c r="C30" s="1" t="n">
        <v>45849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20640-2022 artfynd.xlsx", "A 20640-2022")</f>
        <v/>
      </c>
      <c r="T30">
        <f>HYPERLINK("https://klasma.github.io/Logging_1401/kartor/A 20640-2022 karta.png", "A 20640-2022")</f>
        <v/>
      </c>
      <c r="V30">
        <f>HYPERLINK("https://klasma.github.io/Logging_1401/klagomål/A 20640-2022 FSC-klagomål.docx", "A 20640-2022")</f>
        <v/>
      </c>
      <c r="W30">
        <f>HYPERLINK("https://klasma.github.io/Logging_1401/klagomålsmail/A 20640-2022 FSC-klagomål mail.docx", "A 20640-2022")</f>
        <v/>
      </c>
      <c r="X30">
        <f>HYPERLINK("https://klasma.github.io/Logging_1401/tillsyn/A 20640-2022 tillsynsbegäran.docx", "A 20640-2022")</f>
        <v/>
      </c>
      <c r="Y30">
        <f>HYPERLINK("https://klasma.github.io/Logging_1401/tillsynsmail/A 20640-2022 tillsynsbegäran mail.docx", "A 20640-2022")</f>
        <v/>
      </c>
    </row>
    <row r="31" ht="15" customHeight="1">
      <c r="A31" t="inlineStr">
        <is>
          <t>A 16802-2023</t>
        </is>
      </c>
      <c r="B31" s="1" t="n">
        <v>45033</v>
      </c>
      <c r="C31" s="1" t="n">
        <v>45849</v>
      </c>
      <c r="D31" t="inlineStr">
        <is>
          <t>VÄSTRA GÖTALANDS LÄN</t>
        </is>
      </c>
      <c r="E31" t="inlineStr">
        <is>
          <t>HÄRRYDA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HYPERLINK("https://klasma.github.io/Logging_1401/artfynd/A 16802-2023 artfynd.xlsx", "A 16802-2023")</f>
        <v/>
      </c>
      <c r="T31">
        <f>HYPERLINK("https://klasma.github.io/Logging_1401/kartor/A 16802-2023 karta.png", "A 16802-2023")</f>
        <v/>
      </c>
      <c r="V31">
        <f>HYPERLINK("https://klasma.github.io/Logging_1401/klagomål/A 16802-2023 FSC-klagomål.docx", "A 16802-2023")</f>
        <v/>
      </c>
      <c r="W31">
        <f>HYPERLINK("https://klasma.github.io/Logging_1401/klagomålsmail/A 16802-2023 FSC-klagomål mail.docx", "A 16802-2023")</f>
        <v/>
      </c>
      <c r="X31">
        <f>HYPERLINK("https://klasma.github.io/Logging_1401/tillsyn/A 16802-2023 tillsynsbegäran.docx", "A 16802-2023")</f>
        <v/>
      </c>
      <c r="Y31">
        <f>HYPERLINK("https://klasma.github.io/Logging_1401/tillsynsmail/A 16802-2023 tillsynsbegäran mail.docx", "A 16802-2023")</f>
        <v/>
      </c>
      <c r="Z31">
        <f>HYPERLINK("https://klasma.github.io/Logging_1401/fåglar/A 16802-2023 prioriterade fågelarter.docx", "A 16802-2023")</f>
        <v/>
      </c>
    </row>
    <row r="32" ht="15" customHeight="1">
      <c r="A32" t="inlineStr">
        <is>
          <t>A 21101-2023</t>
        </is>
      </c>
      <c r="B32" s="1" t="n">
        <v>45061</v>
      </c>
      <c r="C32" s="1" t="n">
        <v>45849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HYPERLINK("https://klasma.github.io/Logging_1401/artfynd/A 21101-2023 artfynd.xlsx", "A 21101-2023")</f>
        <v/>
      </c>
      <c r="T32">
        <f>HYPERLINK("https://klasma.github.io/Logging_1401/kartor/A 21101-2023 karta.png", "A 21101-2023")</f>
        <v/>
      </c>
      <c r="V32">
        <f>HYPERLINK("https://klasma.github.io/Logging_1401/klagomål/A 21101-2023 FSC-klagomål.docx", "A 21101-2023")</f>
        <v/>
      </c>
      <c r="W32">
        <f>HYPERLINK("https://klasma.github.io/Logging_1401/klagomålsmail/A 21101-2023 FSC-klagomål mail.docx", "A 21101-2023")</f>
        <v/>
      </c>
      <c r="X32">
        <f>HYPERLINK("https://klasma.github.io/Logging_1401/tillsyn/A 21101-2023 tillsynsbegäran.docx", "A 21101-2023")</f>
        <v/>
      </c>
      <c r="Y32">
        <f>HYPERLINK("https://klasma.github.io/Logging_1401/tillsynsmail/A 21101-2023 tillsynsbegäran mail.docx", "A 21101-2023")</f>
        <v/>
      </c>
    </row>
    <row r="33" ht="15" customHeight="1">
      <c r="A33" t="inlineStr">
        <is>
          <t>A 26330-2023</t>
        </is>
      </c>
      <c r="B33" s="1" t="n">
        <v>45091</v>
      </c>
      <c r="C33" s="1" t="n">
        <v>45849</v>
      </c>
      <c r="D33" t="inlineStr">
        <is>
          <t>VÄSTRA GÖTALANDS LÄN</t>
        </is>
      </c>
      <c r="E33" t="inlineStr">
        <is>
          <t>HÄRRYDA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26330-2023 artfynd.xlsx", "A 26330-2023")</f>
        <v/>
      </c>
      <c r="T33">
        <f>HYPERLINK("https://klasma.github.io/Logging_1401/kartor/A 26330-2023 karta.png", "A 26330-2023")</f>
        <v/>
      </c>
      <c r="V33">
        <f>HYPERLINK("https://klasma.github.io/Logging_1401/klagomål/A 26330-2023 FSC-klagomål.docx", "A 26330-2023")</f>
        <v/>
      </c>
      <c r="W33">
        <f>HYPERLINK("https://klasma.github.io/Logging_1401/klagomålsmail/A 26330-2023 FSC-klagomål mail.docx", "A 26330-2023")</f>
        <v/>
      </c>
      <c r="X33">
        <f>HYPERLINK("https://klasma.github.io/Logging_1401/tillsyn/A 26330-2023 tillsynsbegäran.docx", "A 26330-2023")</f>
        <v/>
      </c>
      <c r="Y33">
        <f>HYPERLINK("https://klasma.github.io/Logging_1401/tillsynsmail/A 26330-2023 tillsynsbegäran mail.docx", "A 26330-2023")</f>
        <v/>
      </c>
    </row>
    <row r="34" ht="15" customHeight="1">
      <c r="A34" t="inlineStr">
        <is>
          <t>A 41444-2023</t>
        </is>
      </c>
      <c r="B34" s="1" t="n">
        <v>45175</v>
      </c>
      <c r="C34" s="1" t="n">
        <v>45849</v>
      </c>
      <c r="D34" t="inlineStr">
        <is>
          <t>VÄSTRA GÖTALANDS LÄN</t>
        </is>
      </c>
      <c r="E34" t="inlineStr">
        <is>
          <t>HÄRRYDA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41444-2023 artfynd.xlsx", "A 41444-2023")</f>
        <v/>
      </c>
      <c r="T34">
        <f>HYPERLINK("https://klasma.github.io/Logging_1401/kartor/A 41444-2023 karta.png", "A 41444-2023")</f>
        <v/>
      </c>
      <c r="V34">
        <f>HYPERLINK("https://klasma.github.io/Logging_1401/klagomål/A 41444-2023 FSC-klagomål.docx", "A 41444-2023")</f>
        <v/>
      </c>
      <c r="W34">
        <f>HYPERLINK("https://klasma.github.io/Logging_1401/klagomålsmail/A 41444-2023 FSC-klagomål mail.docx", "A 41444-2023")</f>
        <v/>
      </c>
      <c r="X34">
        <f>HYPERLINK("https://klasma.github.io/Logging_1401/tillsyn/A 41444-2023 tillsynsbegäran.docx", "A 41444-2023")</f>
        <v/>
      </c>
      <c r="Y34">
        <f>HYPERLINK("https://klasma.github.io/Logging_1401/tillsynsmail/A 41444-2023 tillsynsbegäran mail.docx", "A 41444-2023")</f>
        <v/>
      </c>
    </row>
    <row r="35" ht="15" customHeight="1">
      <c r="A35" t="inlineStr">
        <is>
          <t>A 55686-2023</t>
        </is>
      </c>
      <c r="B35" s="1" t="n">
        <v>45239</v>
      </c>
      <c r="C35" s="1" t="n">
        <v>45849</v>
      </c>
      <c r="D35" t="inlineStr">
        <is>
          <t>VÄSTRA GÖTALANDS LÄN</t>
        </is>
      </c>
      <c r="E35" t="inlineStr">
        <is>
          <t>HÄRRYDA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HYPERLINK("https://klasma.github.io/Logging_1401/artfynd/A 55686-2023 artfynd.xlsx", "A 55686-2023")</f>
        <v/>
      </c>
      <c r="T35">
        <f>HYPERLINK("https://klasma.github.io/Logging_1401/kartor/A 55686-2023 karta.png", "A 55686-2023")</f>
        <v/>
      </c>
      <c r="V35">
        <f>HYPERLINK("https://klasma.github.io/Logging_1401/klagomål/A 55686-2023 FSC-klagomål.docx", "A 55686-2023")</f>
        <v/>
      </c>
      <c r="W35">
        <f>HYPERLINK("https://klasma.github.io/Logging_1401/klagomålsmail/A 55686-2023 FSC-klagomål mail.docx", "A 55686-2023")</f>
        <v/>
      </c>
      <c r="X35">
        <f>HYPERLINK("https://klasma.github.io/Logging_1401/tillsyn/A 55686-2023 tillsynsbegäran.docx", "A 55686-2023")</f>
        <v/>
      </c>
      <c r="Y35">
        <f>HYPERLINK("https://klasma.github.io/Logging_1401/tillsynsmail/A 55686-2023 tillsynsbegäran mail.docx", "A 55686-2023")</f>
        <v/>
      </c>
      <c r="Z35">
        <f>HYPERLINK("https://klasma.github.io/Logging_1401/fåglar/A 55686-2023 prioriterade fågelarter.docx", "A 55686-2023")</f>
        <v/>
      </c>
    </row>
    <row r="36" ht="15" customHeight="1">
      <c r="A36" t="inlineStr">
        <is>
          <t>A 2480-2024</t>
        </is>
      </c>
      <c r="B36" s="1" t="n">
        <v>45313</v>
      </c>
      <c r="C36" s="1" t="n">
        <v>45849</v>
      </c>
      <c r="D36" t="inlineStr">
        <is>
          <t>VÄSTRA GÖTALANDS LÄN</t>
        </is>
      </c>
      <c r="E36" t="inlineStr">
        <is>
          <t>HÄRRYDA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HYPERLINK("https://klasma.github.io/Logging_1401/artfynd/A 2480-2024 artfynd.xlsx", "A 2480-2024")</f>
        <v/>
      </c>
      <c r="T36">
        <f>HYPERLINK("https://klasma.github.io/Logging_1401/kartor/A 2480-2024 karta.png", "A 2480-2024")</f>
        <v/>
      </c>
      <c r="V36">
        <f>HYPERLINK("https://klasma.github.io/Logging_1401/klagomål/A 2480-2024 FSC-klagomål.docx", "A 2480-2024")</f>
        <v/>
      </c>
      <c r="W36">
        <f>HYPERLINK("https://klasma.github.io/Logging_1401/klagomålsmail/A 2480-2024 FSC-klagomål mail.docx", "A 2480-2024")</f>
        <v/>
      </c>
      <c r="X36">
        <f>HYPERLINK("https://klasma.github.io/Logging_1401/tillsyn/A 2480-2024 tillsynsbegäran.docx", "A 2480-2024")</f>
        <v/>
      </c>
      <c r="Y36">
        <f>HYPERLINK("https://klasma.github.io/Logging_1401/tillsynsmail/A 2480-2024 tillsynsbegäran mail.docx", "A 2480-2024")</f>
        <v/>
      </c>
      <c r="Z36">
        <f>HYPERLINK("https://klasma.github.io/Logging_1401/fåglar/A 2480-2024 prioriterade fågelarter.docx", "A 2480-2024")</f>
        <v/>
      </c>
    </row>
    <row r="37" ht="15" customHeight="1">
      <c r="A37" t="inlineStr">
        <is>
          <t>A 14426-2024</t>
        </is>
      </c>
      <c r="B37" s="1" t="n">
        <v>45394</v>
      </c>
      <c r="C37" s="1" t="n">
        <v>45849</v>
      </c>
      <c r="D37" t="inlineStr">
        <is>
          <t>VÄSTRA GÖTALANDS LÄN</t>
        </is>
      </c>
      <c r="E37" t="inlineStr">
        <is>
          <t>HÄRRYDA</t>
        </is>
      </c>
      <c r="F37" t="inlineStr">
        <is>
          <t>Kommuner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HYPERLINK("https://klasma.github.io/Logging_1401/artfynd/A 14426-2024 artfynd.xlsx", "A 14426-2024")</f>
        <v/>
      </c>
      <c r="T37">
        <f>HYPERLINK("https://klasma.github.io/Logging_1401/kartor/A 14426-2024 karta.png", "A 14426-2024")</f>
        <v/>
      </c>
      <c r="V37">
        <f>HYPERLINK("https://klasma.github.io/Logging_1401/klagomål/A 14426-2024 FSC-klagomål.docx", "A 14426-2024")</f>
        <v/>
      </c>
      <c r="W37">
        <f>HYPERLINK("https://klasma.github.io/Logging_1401/klagomålsmail/A 14426-2024 FSC-klagomål mail.docx", "A 14426-2024")</f>
        <v/>
      </c>
      <c r="X37">
        <f>HYPERLINK("https://klasma.github.io/Logging_1401/tillsyn/A 14426-2024 tillsynsbegäran.docx", "A 14426-2024")</f>
        <v/>
      </c>
      <c r="Y37">
        <f>HYPERLINK("https://klasma.github.io/Logging_1401/tillsynsmail/A 14426-2024 tillsynsbegäran mail.docx", "A 14426-2024")</f>
        <v/>
      </c>
    </row>
    <row r="38" ht="15" customHeight="1">
      <c r="A38" t="inlineStr">
        <is>
          <t>A 43202-2024</t>
        </is>
      </c>
      <c r="B38" s="1" t="n">
        <v>45567</v>
      </c>
      <c r="C38" s="1" t="n">
        <v>45849</v>
      </c>
      <c r="D38" t="inlineStr">
        <is>
          <t>VÄSTRA GÖTALANDS LÄN</t>
        </is>
      </c>
      <c r="E38" t="inlineStr">
        <is>
          <t>HÄRRYDA</t>
        </is>
      </c>
      <c r="G38" t="n">
        <v>5.3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Havstulpanlav</t>
        </is>
      </c>
      <c r="S38">
        <f>HYPERLINK("https://klasma.github.io/Logging_1401/artfynd/A 43202-2024 artfynd.xlsx", "A 43202-2024")</f>
        <v/>
      </c>
      <c r="T38">
        <f>HYPERLINK("https://klasma.github.io/Logging_1401/kartor/A 43202-2024 karta.png", "A 43202-2024")</f>
        <v/>
      </c>
      <c r="V38">
        <f>HYPERLINK("https://klasma.github.io/Logging_1401/klagomål/A 43202-2024 FSC-klagomål.docx", "A 43202-2024")</f>
        <v/>
      </c>
      <c r="W38">
        <f>HYPERLINK("https://klasma.github.io/Logging_1401/klagomålsmail/A 43202-2024 FSC-klagomål mail.docx", "A 43202-2024")</f>
        <v/>
      </c>
      <c r="X38">
        <f>HYPERLINK("https://klasma.github.io/Logging_1401/tillsyn/A 43202-2024 tillsynsbegäran.docx", "A 43202-2024")</f>
        <v/>
      </c>
      <c r="Y38">
        <f>HYPERLINK("https://klasma.github.io/Logging_1401/tillsynsmail/A 43202-2024 tillsynsbegäran mail.docx", "A 43202-2024")</f>
        <v/>
      </c>
    </row>
    <row r="39" ht="15" customHeight="1">
      <c r="A39" t="inlineStr">
        <is>
          <t>A 7575-2025</t>
        </is>
      </c>
      <c r="B39" s="1" t="n">
        <v>45705</v>
      </c>
      <c r="C39" s="1" t="n">
        <v>45849</v>
      </c>
      <c r="D39" t="inlineStr">
        <is>
          <t>VÄSTRA GÖTALANDS LÄN</t>
        </is>
      </c>
      <c r="E39" t="inlineStr">
        <is>
          <t>HÄRRYDA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HYPERLINK("https://klasma.github.io/Logging_1401/artfynd/A 7575-2025 artfynd.xlsx", "A 7575-2025")</f>
        <v/>
      </c>
      <c r="T39">
        <f>HYPERLINK("https://klasma.github.io/Logging_1401/kartor/A 7575-2025 karta.png", "A 7575-2025")</f>
        <v/>
      </c>
      <c r="V39">
        <f>HYPERLINK("https://klasma.github.io/Logging_1401/klagomål/A 7575-2025 FSC-klagomål.docx", "A 7575-2025")</f>
        <v/>
      </c>
      <c r="W39">
        <f>HYPERLINK("https://klasma.github.io/Logging_1401/klagomålsmail/A 7575-2025 FSC-klagomål mail.docx", "A 7575-2025")</f>
        <v/>
      </c>
      <c r="X39">
        <f>HYPERLINK("https://klasma.github.io/Logging_1401/tillsyn/A 7575-2025 tillsynsbegäran.docx", "A 7575-2025")</f>
        <v/>
      </c>
      <c r="Y39">
        <f>HYPERLINK("https://klasma.github.io/Logging_1401/tillsynsmail/A 7575-2025 tillsynsbegäran mail.docx", "A 7575-2025")</f>
        <v/>
      </c>
    </row>
    <row r="40" ht="15" customHeight="1">
      <c r="A40" t="inlineStr">
        <is>
          <t>A 14259-2025</t>
        </is>
      </c>
      <c r="B40" s="1" t="n">
        <v>45740</v>
      </c>
      <c r="C40" s="1" t="n">
        <v>45849</v>
      </c>
      <c r="D40" t="inlineStr">
        <is>
          <t>VÄSTRA GÖTALANDS LÄN</t>
        </is>
      </c>
      <c r="E40" t="inlineStr">
        <is>
          <t>HÄRRYDA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HYPERLINK("https://klasma.github.io/Logging_141401/artfynd/A 14259-2025 artfynd.xlsx", "A 14259-2025")</f>
        <v/>
      </c>
      <c r="T40">
        <f>HYPERLINK("https://klasma.github.io/Logging_141401/kartor/A 14259-2025 karta.png", "A 14259-2025")</f>
        <v/>
      </c>
      <c r="V40">
        <f>HYPERLINK("https://klasma.github.io/Logging_141401/klagomål/A 14259-2025 FSC-klagomål.docx", "A 14259-2025")</f>
        <v/>
      </c>
      <c r="W40">
        <f>HYPERLINK("https://klasma.github.io/Logging_141401/klagomålsmail/A 14259-2025 FSC-klagomål mail.docx", "A 14259-2025")</f>
        <v/>
      </c>
      <c r="X40">
        <f>HYPERLINK("https://klasma.github.io/Logging_141401/tillsyn/A 14259-2025 tillsynsbegäran.docx", "A 14259-2025")</f>
        <v/>
      </c>
      <c r="Y40">
        <f>HYPERLINK("https://klasma.github.io/Logging_141401/tillsynsmail/A 14259-2025 tillsynsbegäran mail.docx", "A 14259-2025")</f>
        <v/>
      </c>
    </row>
    <row r="41" ht="15" customHeight="1">
      <c r="A41" t="inlineStr">
        <is>
          <t>A 19435-2025</t>
        </is>
      </c>
      <c r="B41" s="1" t="n">
        <v>45770</v>
      </c>
      <c r="C41" s="1" t="n">
        <v>45849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Röd glada</t>
        </is>
      </c>
      <c r="S41">
        <f>HYPERLINK("https://klasma.github.io/Logging_141401/artfynd/A 19435-2025 artfynd.xlsx", "A 19435-2025")</f>
        <v/>
      </c>
      <c r="T41">
        <f>HYPERLINK("https://klasma.github.io/Logging_141401/kartor/A 19435-2025 karta.png", "A 19435-2025")</f>
        <v/>
      </c>
      <c r="V41">
        <f>HYPERLINK("https://klasma.github.io/Logging_141401/klagomål/A 19435-2025 FSC-klagomål.docx", "A 19435-2025")</f>
        <v/>
      </c>
      <c r="W41">
        <f>HYPERLINK("https://klasma.github.io/Logging_141401/klagomålsmail/A 19435-2025 FSC-klagomål mail.docx", "A 19435-2025")</f>
        <v/>
      </c>
      <c r="X41">
        <f>HYPERLINK("https://klasma.github.io/Logging_141401/tillsyn/A 19435-2025 tillsynsbegäran.docx", "A 19435-2025")</f>
        <v/>
      </c>
      <c r="Y41">
        <f>HYPERLINK("https://klasma.github.io/Logging_141401/tillsynsmail/A 19435-2025 tillsynsbegäran mail.docx", "A 19435-2025")</f>
        <v/>
      </c>
      <c r="Z41">
        <f>HYPERLINK("https://klasma.github.io/Logging_141401/fåglar/A 19435-2025 prioriterade fågelarter.docx", "A 19435-2025")</f>
        <v/>
      </c>
    </row>
    <row r="42" ht="15" customHeight="1">
      <c r="A42" t="inlineStr">
        <is>
          <t>A 27482-2025</t>
        </is>
      </c>
      <c r="B42" s="1" t="n">
        <v>45813</v>
      </c>
      <c r="C42" s="1" t="n">
        <v>45849</v>
      </c>
      <c r="D42" t="inlineStr">
        <is>
          <t>VÄSTRA GÖTALANDS LÄN</t>
        </is>
      </c>
      <c r="E42" t="inlineStr">
        <is>
          <t>HÄRRYDA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HYPERLINK("https://klasma.github.io/Logging_141401/artfynd/A 27482-2025 artfynd.xlsx", "A 27482-2025")</f>
        <v/>
      </c>
      <c r="T42">
        <f>HYPERLINK("https://klasma.github.io/Logging_141401/kartor/A 27482-2025 karta.png", "A 27482-2025")</f>
        <v/>
      </c>
      <c r="V42">
        <f>HYPERLINK("https://klasma.github.io/Logging_141401/klagomål/A 27482-2025 FSC-klagomål.docx", "A 27482-2025")</f>
        <v/>
      </c>
      <c r="W42">
        <f>HYPERLINK("https://klasma.github.io/Logging_141401/klagomålsmail/A 27482-2025 FSC-klagomål mail.docx", "A 27482-2025")</f>
        <v/>
      </c>
      <c r="X42">
        <f>HYPERLINK("https://klasma.github.io/Logging_141401/tillsyn/A 27482-2025 tillsynsbegäran.docx", "A 27482-2025")</f>
        <v/>
      </c>
      <c r="Y42">
        <f>HYPERLINK("https://klasma.github.io/Logging_141401/tillsynsmail/A 27482-2025 tillsynsbegäran mail.docx", "A 27482-2025")</f>
        <v/>
      </c>
    </row>
    <row r="43" ht="15" customHeight="1">
      <c r="A43" t="inlineStr">
        <is>
          <t>A 18489-2019</t>
        </is>
      </c>
      <c r="B43" s="1" t="n">
        <v>43559</v>
      </c>
      <c r="C43" s="1" t="n">
        <v>45849</v>
      </c>
      <c r="D43" t="inlineStr">
        <is>
          <t>VÄSTRA GÖTALANDS LÄN</t>
        </is>
      </c>
      <c r="E43" t="inlineStr">
        <is>
          <t>HÄRRYDA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19200-2019</t>
        </is>
      </c>
      <c r="B44" s="1" t="n">
        <v>43564</v>
      </c>
      <c r="C44" s="1" t="n">
        <v>45849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19688-2019</t>
        </is>
      </c>
      <c r="B45" s="1" t="n">
        <v>43566</v>
      </c>
      <c r="C45" s="1" t="n">
        <v>45849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19826-2019</t>
        </is>
      </c>
      <c r="B46" s="1" t="n">
        <v>43567</v>
      </c>
      <c r="C46" s="1" t="n">
        <v>45849</v>
      </c>
      <c r="D46" t="inlineStr">
        <is>
          <t>VÄSTRA GÖTALANDS LÄN</t>
        </is>
      </c>
      <c r="E46" t="inlineStr">
        <is>
          <t>HÄRRYDA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20315-2019</t>
        </is>
      </c>
      <c r="B47" s="1" t="n">
        <v>43570</v>
      </c>
      <c r="C47" s="1" t="n">
        <v>45849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22530-2019</t>
        </is>
      </c>
      <c r="B48" s="1" t="n">
        <v>43587</v>
      </c>
      <c r="C48" s="1" t="n">
        <v>45849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22860-2019</t>
        </is>
      </c>
      <c r="B49" s="1" t="n">
        <v>43591</v>
      </c>
      <c r="C49" s="1" t="n">
        <v>45849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23408-2019</t>
        </is>
      </c>
      <c r="B50" s="1" t="n">
        <v>43593</v>
      </c>
      <c r="C50" s="1" t="n">
        <v>45849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45849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45849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34993-2019</t>
        </is>
      </c>
      <c r="B53" s="1" t="n">
        <v>43660</v>
      </c>
      <c r="C53" s="1" t="n">
        <v>45849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49797-2019</t>
        </is>
      </c>
      <c r="B54" s="1" t="n">
        <v>43733</v>
      </c>
      <c r="C54" s="1" t="n">
        <v>45849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49806-2019</t>
        </is>
      </c>
      <c r="B55" s="1" t="n">
        <v>43733</v>
      </c>
      <c r="C55" s="1" t="n">
        <v>45849</v>
      </c>
      <c r="D55" t="inlineStr">
        <is>
          <t>VÄSTRA GÖTALANDS LÄN</t>
        </is>
      </c>
      <c r="E55" t="inlineStr">
        <is>
          <t>HÄRRYDA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50168-2019</t>
        </is>
      </c>
      <c r="B56" s="1" t="n">
        <v>43734</v>
      </c>
      <c r="C56" s="1" t="n">
        <v>45849</v>
      </c>
      <c r="D56" t="inlineStr">
        <is>
          <t>VÄSTRA GÖTALANDS LÄN</t>
        </is>
      </c>
      <c r="E56" t="inlineStr">
        <is>
          <t>HÄRRYDA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53137-2019</t>
        </is>
      </c>
      <c r="B57" s="1" t="n">
        <v>43740</v>
      </c>
      <c r="C57" s="1" t="n">
        <v>45849</v>
      </c>
      <c r="D57" t="inlineStr">
        <is>
          <t>VÄSTRA GÖTALANDS LÄN</t>
        </is>
      </c>
      <c r="E57" t="inlineStr">
        <is>
          <t>HÄRRYDA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64721-2019</t>
        </is>
      </c>
      <c r="B58" s="1" t="n">
        <v>43800</v>
      </c>
      <c r="C58" s="1" t="n">
        <v>45849</v>
      </c>
      <c r="D58" t="inlineStr">
        <is>
          <t>VÄSTRA GÖTALANDS LÄN</t>
        </is>
      </c>
      <c r="E58" t="inlineStr">
        <is>
          <t>HÄRRYDA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64722-2019</t>
        </is>
      </c>
      <c r="B59" s="1" t="n">
        <v>43800</v>
      </c>
      <c r="C59" s="1" t="n">
        <v>45849</v>
      </c>
      <c r="D59" t="inlineStr">
        <is>
          <t>VÄSTRA GÖTALANDS LÄN</t>
        </is>
      </c>
      <c r="E59" t="inlineStr">
        <is>
          <t>HÄRRYDA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64724-2019</t>
        </is>
      </c>
      <c r="B60" s="1" t="n">
        <v>43800</v>
      </c>
      <c r="C60" s="1" t="n">
        <v>45849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65186-2019</t>
        </is>
      </c>
      <c r="B61" s="1" t="n">
        <v>43802</v>
      </c>
      <c r="C61" s="1" t="n">
        <v>45849</v>
      </c>
      <c r="D61" t="inlineStr">
        <is>
          <t>VÄSTRA GÖTALANDS LÄN</t>
        </is>
      </c>
      <c r="E61" t="inlineStr">
        <is>
          <t>HÄRRYDA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65268-2019</t>
        </is>
      </c>
      <c r="B62" s="1" t="n">
        <v>43802</v>
      </c>
      <c r="C62" s="1" t="n">
        <v>45849</v>
      </c>
      <c r="D62" t="inlineStr">
        <is>
          <t>VÄSTRA GÖTALANDS LÄN</t>
        </is>
      </c>
      <c r="E62" t="inlineStr">
        <is>
          <t>HÄRRYDA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65693-2019</t>
        </is>
      </c>
      <c r="B63" s="1" t="n">
        <v>43804</v>
      </c>
      <c r="C63" s="1" t="n">
        <v>45849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65688-2019</t>
        </is>
      </c>
      <c r="B64" s="1" t="n">
        <v>43804</v>
      </c>
      <c r="C64" s="1" t="n">
        <v>45849</v>
      </c>
      <c r="D64" t="inlineStr">
        <is>
          <t>VÄSTRA GÖTALANDS LÄN</t>
        </is>
      </c>
      <c r="E64" t="inlineStr">
        <is>
          <t>HÄRRYDA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65687-2019</t>
        </is>
      </c>
      <c r="B65" s="1" t="n">
        <v>43804</v>
      </c>
      <c r="C65" s="1" t="n">
        <v>45849</v>
      </c>
      <c r="D65" t="inlineStr">
        <is>
          <t>VÄSTRA GÖTALANDS LÄN</t>
        </is>
      </c>
      <c r="E65" t="inlineStr">
        <is>
          <t>HÄRRYDA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65670-2019</t>
        </is>
      </c>
      <c r="B66" s="1" t="n">
        <v>43804</v>
      </c>
      <c r="C66" s="1" t="n">
        <v>45849</v>
      </c>
      <c r="D66" t="inlineStr">
        <is>
          <t>VÄSTRA GÖTALANDS LÄN</t>
        </is>
      </c>
      <c r="E66" t="inlineStr">
        <is>
          <t>HÄRRYDA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1502-2020</t>
        </is>
      </c>
      <c r="B67" s="1" t="n">
        <v>43826</v>
      </c>
      <c r="C67" s="1" t="n">
        <v>45849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587-2020</t>
        </is>
      </c>
      <c r="B68" s="1" t="n">
        <v>43838</v>
      </c>
      <c r="C68" s="1" t="n">
        <v>45849</v>
      </c>
      <c r="D68" t="inlineStr">
        <is>
          <t>VÄSTRA GÖTALANDS LÄN</t>
        </is>
      </c>
      <c r="E68" t="inlineStr">
        <is>
          <t>HÄRRYDA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6168-2020</t>
        </is>
      </c>
      <c r="B69" s="1" t="n">
        <v>43865</v>
      </c>
      <c r="C69" s="1" t="n">
        <v>45849</v>
      </c>
      <c r="D69" t="inlineStr">
        <is>
          <t>VÄSTRA GÖTALANDS LÄN</t>
        </is>
      </c>
      <c r="E69" t="inlineStr">
        <is>
          <t>HÄRRYDA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8467-2020</t>
        </is>
      </c>
      <c r="B70" s="1" t="n">
        <v>43875</v>
      </c>
      <c r="C70" s="1" t="n">
        <v>45849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10270-2020</t>
        </is>
      </c>
      <c r="B71" s="1" t="n">
        <v>43887</v>
      </c>
      <c r="C71" s="1" t="n">
        <v>45849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14779-2020</t>
        </is>
      </c>
      <c r="B72" s="1" t="n">
        <v>43909</v>
      </c>
      <c r="C72" s="1" t="n">
        <v>45849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15234-2020</t>
        </is>
      </c>
      <c r="B73" s="1" t="n">
        <v>43913</v>
      </c>
      <c r="C73" s="1" t="n">
        <v>45849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15265-2020</t>
        </is>
      </c>
      <c r="B74" s="1" t="n">
        <v>43913</v>
      </c>
      <c r="C74" s="1" t="n">
        <v>45849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15597-2020</t>
        </is>
      </c>
      <c r="B75" s="1" t="n">
        <v>43914</v>
      </c>
      <c r="C75" s="1" t="n">
        <v>45849</v>
      </c>
      <c r="D75" t="inlineStr">
        <is>
          <t>VÄSTRA GÖTALANDS LÄN</t>
        </is>
      </c>
      <c r="E75" t="inlineStr">
        <is>
          <t>HÄRRYDA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15846-2020</t>
        </is>
      </c>
      <c r="B76" s="1" t="n">
        <v>43915</v>
      </c>
      <c r="C76" s="1" t="n">
        <v>45849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18847-2020</t>
        </is>
      </c>
      <c r="B77" s="1" t="n">
        <v>43929</v>
      </c>
      <c r="C77" s="1" t="n">
        <v>45849</v>
      </c>
      <c r="D77" t="inlineStr">
        <is>
          <t>VÄSTRA GÖTALANDS LÄN</t>
        </is>
      </c>
      <c r="E77" t="inlineStr">
        <is>
          <t>HÄRRYDA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18849-2020</t>
        </is>
      </c>
      <c r="B78" s="1" t="n">
        <v>43929</v>
      </c>
      <c r="C78" s="1" t="n">
        <v>45849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21685-2020</t>
        </is>
      </c>
      <c r="B79" s="1" t="n">
        <v>43957</v>
      </c>
      <c r="C79" s="1" t="n">
        <v>45849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21682-2020</t>
        </is>
      </c>
      <c r="B80" s="1" t="n">
        <v>43957</v>
      </c>
      <c r="C80" s="1" t="n">
        <v>45849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24733-2020</t>
        </is>
      </c>
      <c r="B81" s="1" t="n">
        <v>43978</v>
      </c>
      <c r="C81" s="1" t="n">
        <v>45849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33262-2020</t>
        </is>
      </c>
      <c r="B82" s="1" t="n">
        <v>44022</v>
      </c>
      <c r="C82" s="1" t="n">
        <v>45849</v>
      </c>
      <c r="D82" t="inlineStr">
        <is>
          <t>VÄSTRA GÖTALANDS LÄN</t>
        </is>
      </c>
      <c r="E82" t="inlineStr">
        <is>
          <t>HÄRRYDA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37987-2020</t>
        </is>
      </c>
      <c r="B83" s="1" t="n">
        <v>44057</v>
      </c>
      <c r="C83" s="1" t="n">
        <v>45849</v>
      </c>
      <c r="D83" t="inlineStr">
        <is>
          <t>VÄSTRA GÖTALANDS LÄN</t>
        </is>
      </c>
      <c r="E83" t="inlineStr">
        <is>
          <t>HÄRRYDA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37989-2020</t>
        </is>
      </c>
      <c r="B84" s="1" t="n">
        <v>44057</v>
      </c>
      <c r="C84" s="1" t="n">
        <v>45849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45849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45849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45849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45849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45849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45849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45849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45849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45849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45849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45849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45849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45849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45849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45849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45849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45849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45849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45849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45849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45849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45849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45849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45849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45849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45849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45849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45849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45849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45849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45849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45849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45849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45849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45849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45849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45849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45849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45849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45849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45849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45849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45849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45849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45849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45849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45849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45849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45849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45849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45849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45849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45849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45849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45849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45849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45849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45849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45849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45849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45849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45849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45849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45849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45849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45849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45849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45849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45849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45849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45849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45849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45849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45849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45849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45849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45849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45849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45849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45849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45849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45849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45849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45849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45849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45849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45849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45849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45849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45849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45849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45849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45849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45849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45849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45849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45849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45849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45849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45849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45849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45849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45849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45849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45849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45849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45849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45849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45849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45849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45849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45849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45849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45849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45849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45849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45849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45849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45849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45849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45849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45849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45849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45849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45849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45849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45849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45849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45849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45849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45849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45849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45849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45849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45849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45849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45849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45849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45849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45849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45849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45849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45849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45849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45849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45849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45849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45849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45849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45849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45849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45849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45849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45849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45849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45849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45849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45849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45849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45849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45849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45849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45849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45849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45849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45849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45849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45849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45849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45849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45849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45849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45849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45849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45849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45849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45849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45849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45849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45849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45849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45849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45849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45849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45849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45849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45849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45849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45849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45849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45849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45849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45849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45849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45849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45849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45849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45849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45849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45849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45849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45849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45849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45849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45849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45849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2025-07-11T19:42:20Z</dcterms:created>
  <dcterms:modified xmlns:dcterms="http://purl.org/dc/terms/" xmlns:xsi="http://www.w3.org/2001/XMLSchema-instance" xsi:type="dcterms:W3CDTF">2025-07-11T19:42:20Z</dcterms:modified>
</cp:coreProperties>
</file>