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46256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46256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46256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46256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46256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46256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46256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46256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46256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46256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58481-2022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44902</v>
      </c>
      <c r="E21" s="1" t="n">
        <v>46256</v>
      </c>
      <c r="F21" t="inlineStr">
        <is>
          <t>VÄSTRA GÖTALANDS LÄN</t>
        </is>
      </c>
      <c r="G21" t="inlineStr">
        <is>
          <t>HÄRRYDA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58481-2022 artfynd.xlsx", "A 58481-2022")</f>
        <v/>
      </c>
      <c r="X21">
        <f>HYPERLINK("https://klasma.github.io/Logging_1401/kartor/A 58481-2022 karta.png", "A 58481-2022")</f>
        <v/>
      </c>
      <c r="Y21">
        <f>HYPERLINK("https://klasma.github.io/Logging_1401/kartor_geotiff/A 58481-2022 georefererad karta.tif", "A 58481-2022")</f>
        <v/>
      </c>
      <c r="AA21">
        <f>HYPERLINK("https://klasma.github.io/Logging_1401/klagomål/A 58481-2022 FSC-klagomål.docx", "A 58481-2022")</f>
        <v/>
      </c>
      <c r="AB21">
        <f>HYPERLINK("https://klasma.github.io/Logging_1401/klagomålsmail/A 58481-2022 FSC-klagomål mail.docx", "A 58481-2022")</f>
        <v/>
      </c>
      <c r="AC21">
        <f>HYPERLINK("https://klasma.github.io/Logging_1401/tillsyn/A 58481-2022 tillsynsbegäran.docx", "A 58481-2022")</f>
        <v/>
      </c>
      <c r="AD21">
        <f>HYPERLINK("https://klasma.github.io/Logging_1401/tillsynsmail/A 58481-2022 tillsynsbegäran mail.docx", "A 58481-2022")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46256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46256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46256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46256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46256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46256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46256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46256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46256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46256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46256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46256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46256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46256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46256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46256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46256</v>
      </c>
      <c r="F42" t="inlineStr">
        <is>
          <t>VÄSTRA GÖTALANDS LÄN</t>
        </is>
      </c>
      <c r="G42" t="inlineStr">
        <is>
          <t>HÄRRYDA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25726-2022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44733</v>
      </c>
      <c r="E43" s="1" t="n">
        <v>46256</v>
      </c>
      <c r="F43" t="inlineStr">
        <is>
          <t>VÄSTRA GÖTALANDS LÄN</t>
        </is>
      </c>
      <c r="G43" t="inlineStr">
        <is>
          <t>HÄRRYDA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46256</v>
      </c>
      <c r="F44" t="inlineStr">
        <is>
          <t>VÄSTRA GÖTALANDS LÄN</t>
        </is>
      </c>
      <c r="G44" t="inlineStr">
        <is>
          <t>HÄRRYDA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63595-2021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46256</v>
      </c>
      <c r="F45" t="inlineStr">
        <is>
          <t>VÄSTRA GÖTALANDS LÄN</t>
        </is>
      </c>
      <c r="G45" t="inlineStr">
        <is>
          <t>HÄRRYDA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45813</v>
      </c>
      <c r="E46" s="1" t="n">
        <v>46256</v>
      </c>
      <c r="F46" t="inlineStr">
        <is>
          <t>VÄSTRA GÖTALANDS LÄN</t>
        </is>
      </c>
      <c r="G46" t="inlineStr">
        <is>
          <t>HÄRRYDA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46256</v>
      </c>
      <c r="F47" t="inlineStr">
        <is>
          <t>VÄSTRA GÖTALANDS LÄN</t>
        </is>
      </c>
      <c r="G47" t="inlineStr">
        <is>
          <t>HÄRRYDA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46256</v>
      </c>
      <c r="F48" t="inlineStr">
        <is>
          <t>VÄSTRA GÖTALANDS LÄN</t>
        </is>
      </c>
      <c r="G48" t="inlineStr">
        <is>
          <t>HÄRRYDA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46256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46256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45625</v>
      </c>
      <c r="E51" s="1" t="n">
        <v>46256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46256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46256</v>
      </c>
      <c r="F53" t="inlineStr">
        <is>
          <t>VÄSTRA GÖTALANDS LÄN</t>
        </is>
      </c>
      <c r="G53" t="inlineStr">
        <is>
          <t>HÄRRYDA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46256</v>
      </c>
      <c r="F54" t="inlineStr">
        <is>
          <t>VÄSTRA GÖTALANDS LÄN</t>
        </is>
      </c>
      <c r="G54" t="inlineStr">
        <is>
          <t>HÄRRYDA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47350-2024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46256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46256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45336</v>
      </c>
      <c r="E57" s="1" t="n">
        <v>46256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46256</v>
      </c>
      <c r="F58" t="inlineStr">
        <is>
          <t>VÄSTRA GÖTALANDS LÄN</t>
        </is>
      </c>
      <c r="G58" t="inlineStr">
        <is>
          <t>HÄRRYDA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61874-2024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45651</v>
      </c>
      <c r="E59" s="1" t="n">
        <v>46256</v>
      </c>
      <c r="F59" t="inlineStr">
        <is>
          <t>VÄSTRA GÖTALANDS LÄN</t>
        </is>
      </c>
      <c r="G59" t="inlineStr">
        <is>
          <t>HÄRRYDA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46256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46256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46256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46256</v>
      </c>
      <c r="F63" t="inlineStr">
        <is>
          <t>VÄSTRA GÖTALANDS LÄN</t>
        </is>
      </c>
      <c r="G63" t="inlineStr">
        <is>
          <t>HÄRRYDA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46256</v>
      </c>
      <c r="F64" t="inlineStr">
        <is>
          <t>VÄSTRA GÖTALANDS LÄN</t>
        </is>
      </c>
      <c r="G64" t="inlineStr">
        <is>
          <t>HÄRRYDA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46256</v>
      </c>
      <c r="F65" t="inlineStr">
        <is>
          <t>VÄSTRA GÖTALANDS LÄN</t>
        </is>
      </c>
      <c r="G65" t="inlineStr">
        <is>
          <t>HÄRRYDA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46256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46256</v>
      </c>
      <c r="F67" t="inlineStr">
        <is>
          <t>VÄSTRA GÖTALANDS LÄN</t>
        </is>
      </c>
      <c r="G67" t="inlineStr">
        <is>
          <t>HÄRRYDA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46256</v>
      </c>
      <c r="F68" t="inlineStr">
        <is>
          <t>VÄSTRA GÖTALANDS LÄN</t>
        </is>
      </c>
      <c r="G68" t="inlineStr">
        <is>
          <t>HÄRRYDA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46256</v>
      </c>
      <c r="F69" t="inlineStr">
        <is>
          <t>VÄSTRA GÖTALANDS LÄN</t>
        </is>
      </c>
      <c r="G69" t="inlineStr">
        <is>
          <t>HÄRRYDA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46256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46256</v>
      </c>
      <c r="F71" t="inlineStr">
        <is>
          <t>VÄSTRA GÖTALANDS LÄN</t>
        </is>
      </c>
      <c r="G71" t="inlineStr">
        <is>
          <t>HÄRRYDA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46256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46256</v>
      </c>
      <c r="F73" t="inlineStr">
        <is>
          <t>VÄSTRA GÖTALANDS LÄN</t>
        </is>
      </c>
      <c r="G73" t="inlineStr">
        <is>
          <t>HÄRRYDA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46256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45336</v>
      </c>
      <c r="E75" s="1" t="n">
        <v>46256</v>
      </c>
      <c r="F75" t="inlineStr">
        <is>
          <t>VÄSTRA GÖTALANDS LÄN</t>
        </is>
      </c>
      <c r="G75" t="inlineStr">
        <is>
          <t>HÄRRYDA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46256</v>
      </c>
      <c r="F76" t="inlineStr">
        <is>
          <t>VÄSTRA GÖTALANDS LÄN</t>
        </is>
      </c>
      <c r="G76" t="inlineStr">
        <is>
          <t>HÄRRYDA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46256</v>
      </c>
      <c r="F77" t="inlineStr">
        <is>
          <t>VÄSTRA GÖTALANDS LÄN</t>
        </is>
      </c>
      <c r="G77" t="inlineStr">
        <is>
          <t>HÄRRYDA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46256</v>
      </c>
      <c r="F78" t="inlineStr">
        <is>
          <t>VÄSTRA GÖTALANDS LÄN</t>
        </is>
      </c>
      <c r="G78" t="inlineStr">
        <is>
          <t>HÄRRYDA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46256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46256</v>
      </c>
      <c r="F80" t="inlineStr">
        <is>
          <t>VÄSTRA GÖTALANDS LÄN</t>
        </is>
      </c>
      <c r="G80" t="inlineStr">
        <is>
          <t>HÄRRYDA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46256</v>
      </c>
      <c r="F81" t="inlineStr">
        <is>
          <t>VÄSTRA GÖTALANDS LÄN</t>
        </is>
      </c>
      <c r="G81" t="inlineStr">
        <is>
          <t>HÄRRYDA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45307</v>
      </c>
      <c r="E82" s="1" t="n">
        <v>46256</v>
      </c>
      <c r="F82" t="inlineStr">
        <is>
          <t>VÄSTRA GÖTALANDS LÄN</t>
        </is>
      </c>
      <c r="G82" t="inlineStr">
        <is>
          <t>HÄRRYDA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46256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46256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46256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46256</v>
      </c>
      <c r="F86" t="inlineStr">
        <is>
          <t>VÄSTRA GÖTALANDS LÄN</t>
        </is>
      </c>
      <c r="G86" t="inlineStr">
        <is>
          <t>HÄRRYDA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46256</v>
      </c>
      <c r="F87" t="inlineStr">
        <is>
          <t>VÄSTRA GÖTALANDS LÄN</t>
        </is>
      </c>
      <c r="G87" t="inlineStr">
        <is>
          <t>HÄRRYDA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44732</v>
      </c>
      <c r="E88" s="1" t="n">
        <v>46256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46256</v>
      </c>
      <c r="F89" t="inlineStr">
        <is>
          <t>VÄSTRA GÖTALANDS LÄN</t>
        </is>
      </c>
      <c r="G89" t="inlineStr">
        <is>
          <t>HÄRRYDA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69563-2021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46256</v>
      </c>
      <c r="F90" t="inlineStr">
        <is>
          <t>VÄSTRA GÖTALANDS LÄN</t>
        </is>
      </c>
      <c r="G90" t="inlineStr">
        <is>
          <t>HÄRRYDA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46256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44911</v>
      </c>
      <c r="E92" s="1" t="n">
        <v>46256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46256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46256</v>
      </c>
      <c r="F94" t="inlineStr">
        <is>
          <t>VÄSTRA GÖTALANDS LÄN</t>
        </is>
      </c>
      <c r="G94" t="inlineStr">
        <is>
          <t>HÄRRYDA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45313</v>
      </c>
      <c r="E95" s="1" t="n">
        <v>46256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46256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46256</v>
      </c>
      <c r="F97" t="inlineStr">
        <is>
          <t>VÄSTRA GÖTALANDS LÄN</t>
        </is>
      </c>
      <c r="G97" t="inlineStr">
        <is>
          <t>HÄRRYDA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45686</v>
      </c>
      <c r="E98" s="1" t="n">
        <v>46256</v>
      </c>
      <c r="F98" t="inlineStr">
        <is>
          <t>VÄSTRA GÖTALANDS LÄN</t>
        </is>
      </c>
      <c r="G98" t="inlineStr">
        <is>
          <t>HÄRRYDA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46256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45287</v>
      </c>
      <c r="E100" s="1" t="n">
        <v>46256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46256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46223</v>
      </c>
      <c r="E102" s="1" t="n">
        <v>46256</v>
      </c>
      <c r="F102" t="inlineStr">
        <is>
          <t>VÄSTRA GÖTALANDS LÄN</t>
        </is>
      </c>
      <c r="G102" t="inlineStr">
        <is>
          <t>HÄRRYDA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46256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31631-2026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46256</v>
      </c>
      <c r="F104" t="inlineStr">
        <is>
          <t>VÄSTRA GÖTALANDS LÄN</t>
        </is>
      </c>
      <c r="G104" t="inlineStr">
        <is>
          <t>HÄRRYDA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46256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46256</v>
      </c>
      <c r="F106" t="inlineStr">
        <is>
          <t>VÄSTRA GÖTALANDS LÄN</t>
        </is>
      </c>
      <c r="G106" t="inlineStr">
        <is>
          <t>HÄRRYDA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46098</v>
      </c>
      <c r="E107" s="1" t="n">
        <v>46256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45705</v>
      </c>
      <c r="E108" s="1" t="n">
        <v>46256</v>
      </c>
      <c r="F108" t="inlineStr">
        <is>
          <t>VÄSTRA GÖTALANDS LÄN</t>
        </is>
      </c>
      <c r="G108" t="inlineStr">
        <is>
          <t>HÄRRYDA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45058</v>
      </c>
      <c r="E109" s="1" t="n">
        <v>46256</v>
      </c>
      <c r="F109" t="inlineStr">
        <is>
          <t>VÄSTRA GÖTALANDS LÄN</t>
        </is>
      </c>
      <c r="G109" t="inlineStr">
        <is>
          <t>HÄRRYDA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45237</v>
      </c>
      <c r="E110" s="1" t="n">
        <v>46256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46106</v>
      </c>
      <c r="E111" s="1" t="n">
        <v>46256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46256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46256</v>
      </c>
      <c r="F113" t="inlineStr">
        <is>
          <t>VÄSTRA GÖTALANDS LÄN</t>
        </is>
      </c>
      <c r="G113" t="inlineStr">
        <is>
          <t>HÄRRYDA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46256</v>
      </c>
      <c r="F114" t="inlineStr">
        <is>
          <t>VÄSTRA GÖTALANDS LÄN</t>
        </is>
      </c>
      <c r="G114" t="inlineStr">
        <is>
          <t>HÄRRYDA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46256</v>
      </c>
      <c r="F115" t="inlineStr">
        <is>
          <t>VÄSTRA GÖTALANDS LÄN</t>
        </is>
      </c>
      <c r="G115" t="inlineStr">
        <is>
          <t>HÄRRYDA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46256</v>
      </c>
      <c r="F116" t="inlineStr">
        <is>
          <t>VÄSTRA GÖTALANDS LÄN</t>
        </is>
      </c>
      <c r="G116" t="inlineStr">
        <is>
          <t>HÄRRYDA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46256</v>
      </c>
      <c r="F117" t="inlineStr">
        <is>
          <t>VÄSTRA GÖTALANDS LÄN</t>
        </is>
      </c>
      <c r="G117" t="inlineStr">
        <is>
          <t>HÄRRYDA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46256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46256</v>
      </c>
      <c r="F119" t="inlineStr">
        <is>
          <t>VÄSTRA GÖTALANDS LÄN</t>
        </is>
      </c>
      <c r="G119" t="inlineStr">
        <is>
          <t>HÄRRYDA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46256</v>
      </c>
      <c r="F120" t="inlineStr">
        <is>
          <t>VÄSTRA GÖTALANDS LÄN</t>
        </is>
      </c>
      <c r="G120" t="inlineStr">
        <is>
          <t>HÄRRYDA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46256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46256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46256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46256</v>
      </c>
      <c r="F124" t="inlineStr">
        <is>
          <t>VÄSTRA GÖTALANDS LÄN</t>
        </is>
      </c>
      <c r="G124" t="inlineStr">
        <is>
          <t>HÄRRYDA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31641-2026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46225</v>
      </c>
      <c r="E125" s="1" t="n">
        <v>46256</v>
      </c>
      <c r="F125" t="inlineStr">
        <is>
          <t>VÄSTRA GÖTALANDS LÄN</t>
        </is>
      </c>
      <c r="G125" t="inlineStr">
        <is>
          <t>HÄRRYDA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46256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46256</v>
      </c>
      <c r="F127" t="inlineStr">
        <is>
          <t>VÄSTRA GÖTALANDS LÄN</t>
        </is>
      </c>
      <c r="G127" t="inlineStr">
        <is>
          <t>HÄRRYDA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46256</v>
      </c>
      <c r="F128" t="inlineStr">
        <is>
          <t>VÄSTRA GÖTALANDS LÄN</t>
        </is>
      </c>
      <c r="G128" t="inlineStr">
        <is>
          <t>HÄRRYDA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46212</v>
      </c>
      <c r="E129" s="1" t="n">
        <v>46256</v>
      </c>
      <c r="F129" t="inlineStr">
        <is>
          <t>VÄSTRA GÖTALANDS LÄN</t>
        </is>
      </c>
      <c r="G129" t="inlineStr">
        <is>
          <t>HÄRRYDA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46212</v>
      </c>
      <c r="E130" s="1" t="n">
        <v>46256</v>
      </c>
      <c r="F130" t="inlineStr">
        <is>
          <t>VÄSTRA GÖTALANDS LÄN</t>
        </is>
      </c>
      <c r="G130" t="inlineStr">
        <is>
          <t>HÄRRYDA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72891-2021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44547</v>
      </c>
      <c r="E131" s="1" t="n">
        <v>46256</v>
      </c>
      <c r="F131" t="inlineStr">
        <is>
          <t>VÄSTRA GÖTALANDS LÄN</t>
        </is>
      </c>
      <c r="G131" t="inlineStr">
        <is>
          <t>HÄRRYDA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46256</v>
      </c>
      <c r="F132" t="inlineStr">
        <is>
          <t>VÄSTRA GÖTALANDS LÄN</t>
        </is>
      </c>
      <c r="G132" t="inlineStr">
        <is>
          <t>HÄRRYDA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46256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46256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46256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2026-08-22T01:48:51Z</dcterms:created>
  <dcterms:modified xmlns:dcterms="http://purl.org/dc/terms/" xmlns:xsi="http://www.w3.org/2001/XMLSchema-instance" xsi:type="dcterms:W3CDTF">2026-08-22T01:48:51Z</dcterms:modified>
</cp:coreProperties>
</file>