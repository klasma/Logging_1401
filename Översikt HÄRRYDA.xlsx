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21101-2023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45061</v>
      </c>
      <c r="E2" s="1" t="n">
        <v>46320</v>
      </c>
      <c r="F2" t="inlineStr">
        <is>
          <t>VÄSTRA GÖTALANDS LÄN</t>
        </is>
      </c>
      <c r="G2" t="inlineStr">
        <is>
          <t>HÄRRYDA</t>
        </is>
      </c>
      <c r="I2" t="n">
        <v>0.5</v>
      </c>
      <c r="J2" t="n">
        <v>1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</v>
      </c>
      <c r="T2" t="n">
        <v>6</v>
      </c>
      <c r="U2" t="n">
        <v>5</v>
      </c>
      <c r="V2" s="2" t="inlineStr">
        <is>
          <t>Gulvaxing
Hagfingersvamp
Kantarellvaxing
Sprödvaxing
Ängsvaxing agg.
Åkergroda</t>
        </is>
      </c>
      <c r="W2">
        <f>HYPERLINK("https://klasma.github.io/Logging_1401/artfynd/A 21101-2023 artfynd.xlsx", "A 21101-2023")</f>
        <v/>
      </c>
      <c r="X2">
        <f>HYPERLINK("https://klasma.github.io/Logging_1401/kartor/A 21101-2023 karta.png", "A 21101-2023")</f>
        <v/>
      </c>
      <c r="Y2">
        <f>HYPERLINK("https://klasma.github.io/Logging_1401/kartor_geotiff/A 21101-2023 georefererad karta.tif", "A 21101-2023")</f>
        <v/>
      </c>
      <c r="AA2">
        <f>HYPERLINK("https://klasma.github.io/Logging_1401/klagomål/A 21101-2023 FSC-klagomål.docx", "A 21101-2023")</f>
        <v/>
      </c>
      <c r="AB2">
        <f>HYPERLINK("https://klasma.github.io/Logging_1401/klagomålsmail/A 21101-2023 FSC-klagomål mail.docx", "A 21101-2023")</f>
        <v/>
      </c>
      <c r="AC2">
        <f>HYPERLINK("https://klasma.github.io/Logging_1401/tillsyn/A 21101-2023 tillsynsbegäran.docx", "A 21101-2023")</f>
        <v/>
      </c>
      <c r="AD2">
        <f>HYPERLINK("https://klasma.github.io/Logging_1401/tillsynsmail/A 21101-2023 tillsynsbegäran mail.docx", "A 21101-2023")</f>
        <v/>
      </c>
    </row>
    <row r="3" ht="15" customHeight="1">
      <c r="A3" t="inlineStr">
        <is>
          <t>A 52061-2024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45608</v>
      </c>
      <c r="E3" s="1" t="n">
        <v>46320</v>
      </c>
      <c r="F3" t="inlineStr">
        <is>
          <t>VÄSTRA GÖTALANDS LÄN</t>
        </is>
      </c>
      <c r="G3" t="inlineStr">
        <is>
          <t>HÄRRYDA</t>
        </is>
      </c>
      <c r="I3" t="n">
        <v>8.1</v>
      </c>
      <c r="J3" t="n">
        <v>1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11</v>
      </c>
      <c r="U3" t="n">
        <v>7</v>
      </c>
      <c r="V3" s="2" t="inlineStr">
        <is>
          <t>Blåmossa
Skuggmossa
Stor revmossa
Vågbandad barkbock
Spillkråka</t>
        </is>
      </c>
      <c r="W3">
        <f>HYPERLINK("https://klasma.github.io/Logging_1401/artfynd/A 52061-2024 artfynd.xlsx", "A 52061-2024")</f>
        <v/>
      </c>
      <c r="X3">
        <f>HYPERLINK("https://klasma.github.io/Logging_1401/kartor/A 52061-2024 karta.png", "A 52061-2024")</f>
        <v/>
      </c>
      <c r="Y3">
        <f>HYPERLINK("https://klasma.github.io/Logging_1401/kartor_geotiff/A 52061-2024 georefererad karta.tif", "A 52061-2024")</f>
        <v/>
      </c>
      <c r="AA3">
        <f>HYPERLINK("https://klasma.github.io/Logging_1401/klagomål/A 52061-2024 FSC-klagomål.docx", "A 52061-2024")</f>
        <v/>
      </c>
      <c r="AB3">
        <f>HYPERLINK("https://klasma.github.io/Logging_1401/klagomålsmail/A 52061-2024 FSC-klagomål mail.docx", "A 52061-2024")</f>
        <v/>
      </c>
      <c r="AC3">
        <f>HYPERLINK("https://klasma.github.io/Logging_1401/tillsyn/A 52061-2024 tillsynsbegäran.docx", "A 52061-2024")</f>
        <v/>
      </c>
      <c r="AD3">
        <f>HYPERLINK("https://klasma.github.io/Logging_1401/tillsynsmail/A 52061-2024 tillsynsbegäran mail.docx", "A 52061-2024")</f>
        <v/>
      </c>
      <c r="AE3">
        <f>HYPERLINK("https://klasma.github.io/Logging_1401/fåglar/A 52061-2024 prioriterade fågelarter.docx", "A 52061-2024")</f>
        <v/>
      </c>
    </row>
    <row r="4" ht="15" customHeight="1">
      <c r="A4" t="inlineStr">
        <is>
          <t>A 16723-2023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45030</v>
      </c>
      <c r="E4" s="1" t="n">
        <v>46320</v>
      </c>
      <c r="F4" t="inlineStr">
        <is>
          <t>VÄSTRA GÖTALANDS LÄN</t>
        </is>
      </c>
      <c r="G4" t="inlineStr">
        <is>
          <t>HÄRRYDA</t>
        </is>
      </c>
      <c r="I4" t="n">
        <v>2.3</v>
      </c>
      <c r="J4" t="n">
        <v>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4</v>
      </c>
      <c r="U4" t="n">
        <v>4</v>
      </c>
      <c r="V4" s="2" t="inlineStr">
        <is>
          <t>Björksplintborre
Blåmossa
Kornknutmossa
Spillkråka</t>
        </is>
      </c>
      <c r="W4">
        <f>HYPERLINK("https://klasma.github.io/Logging_1401/artfynd/A 16723-2023 artfynd.xlsx", "A 16723-2023")</f>
        <v/>
      </c>
      <c r="X4">
        <f>HYPERLINK("https://klasma.github.io/Logging_1401/kartor/A 16723-2023 karta.png", "A 16723-2023")</f>
        <v/>
      </c>
      <c r="Y4">
        <f>HYPERLINK("https://klasma.github.io/Logging_1401/kartor_geotiff/A 16723-2023 georefererad karta.tif", "A 16723-2023")</f>
        <v/>
      </c>
      <c r="AA4">
        <f>HYPERLINK("https://klasma.github.io/Logging_1401/klagomål/A 16723-2023 FSC-klagomål.docx", "A 16723-2023")</f>
        <v/>
      </c>
      <c r="AB4">
        <f>HYPERLINK("https://klasma.github.io/Logging_1401/klagomålsmail/A 16723-2023 FSC-klagomål mail.docx", "A 16723-2023")</f>
        <v/>
      </c>
      <c r="AC4">
        <f>HYPERLINK("https://klasma.github.io/Logging_1401/tillsyn/A 16723-2023 tillsynsbegäran.docx", "A 16723-2023")</f>
        <v/>
      </c>
      <c r="AD4">
        <f>HYPERLINK("https://klasma.github.io/Logging_1401/tillsynsmail/A 16723-2023 tillsynsbegäran mail.docx", "A 16723-2023")</f>
        <v/>
      </c>
      <c r="AE4">
        <f>HYPERLINK("https://klasma.github.io/Logging_1401/fåglar/A 16723-2023 prioriterade fågelarter.docx", "A 16723-2023")</f>
        <v/>
      </c>
    </row>
    <row r="5" ht="15" customHeight="1">
      <c r="A5" t="inlineStr">
        <is>
          <t>A 43202-2024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45567</v>
      </c>
      <c r="E5" s="1" t="n">
        <v>46320</v>
      </c>
      <c r="F5" t="inlineStr">
        <is>
          <t>VÄSTRA GÖTALANDS LÄN</t>
        </is>
      </c>
      <c r="G5" t="inlineStr">
        <is>
          <t>HÄRRYDA</t>
        </is>
      </c>
      <c r="I5" t="n">
        <v>5.3</v>
      </c>
      <c r="J5" t="n">
        <v>1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6</v>
      </c>
      <c r="U5" t="n">
        <v>0</v>
      </c>
      <c r="V5" s="2" t="inlineStr">
        <is>
          <t>Havstulpanlav
Rostfläck
Stor revmossa
Revlummer</t>
        </is>
      </c>
      <c r="W5">
        <f>HYPERLINK("https://klasma.github.io/Logging_1401/artfynd/A 43202-2024 artfynd.xlsx", "A 43202-2024")</f>
        <v/>
      </c>
      <c r="X5">
        <f>HYPERLINK("https://klasma.github.io/Logging_1401/kartor/A 43202-2024 karta.png", "A 43202-2024")</f>
        <v/>
      </c>
      <c r="Y5">
        <f>HYPERLINK("https://klasma.github.io/Logging_1401/kartor_geotiff/A 43202-2024 georefererad karta.tif", "A 43202-2024")</f>
        <v/>
      </c>
      <c r="AA5">
        <f>HYPERLINK("https://klasma.github.io/Logging_1401/klagomål/A 43202-2024 FSC-klagomål.docx", "A 43202-2024")</f>
        <v/>
      </c>
      <c r="AB5">
        <f>HYPERLINK("https://klasma.github.io/Logging_1401/klagomålsmail/A 43202-2024 FSC-klagomål mail.docx", "A 43202-2024")</f>
        <v/>
      </c>
      <c r="AC5">
        <f>HYPERLINK("https://klasma.github.io/Logging_1401/tillsyn/A 43202-2024 tillsynsbegäran.docx", "A 43202-2024")</f>
        <v/>
      </c>
      <c r="AD5">
        <f>HYPERLINK("https://klasma.github.io/Logging_1401/tillsynsmail/A 43202-2024 tillsynsbegäran mail.docx", "A 43202-2024")</f>
        <v/>
      </c>
    </row>
    <row r="6" ht="15" customHeight="1">
      <c r="A6" t="inlineStr">
        <is>
          <t>S 1617-2023</t>
        </is>
      </c>
      <c r="B6" t="inlineStr">
        <is>
          <t>samrådsanmälan</t>
        </is>
      </c>
      <c r="C6" t="inlineStr">
        <is>
          <t>Askåterföring</t>
        </is>
      </c>
      <c r="D6" s="1" t="n">
        <v>45057</v>
      </c>
      <c r="E6" s="1" t="n">
        <v>46320</v>
      </c>
      <c r="F6" t="inlineStr">
        <is>
          <t>VÄSTRA GÖTALANDS LÄN</t>
        </is>
      </c>
      <c r="G6" t="inlineStr">
        <is>
          <t>HÄRRYDA</t>
        </is>
      </c>
      <c r="I6" t="n">
        <v>30.9</v>
      </c>
      <c r="J6" t="n">
        <v>0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4</v>
      </c>
      <c r="T6" t="n">
        <v>6</v>
      </c>
      <c r="U6" t="n">
        <v>4</v>
      </c>
      <c r="V6" s="2" t="inlineStr">
        <is>
          <t>Stubbtrådmossa
Flagellkvastmossa
Kornknutmossa
Stor revmossa</t>
        </is>
      </c>
      <c r="W6">
        <f>HYPERLINK("https://klasma.github.io/Logging_1401/artfynd/S 1617-2023 artfynd.xlsx", "S 1617-2023")</f>
        <v/>
      </c>
      <c r="X6">
        <f>HYPERLINK("https://klasma.github.io/Logging_1401/kartor/S 1617-2023 karta.png", "S 1617-2023")</f>
        <v/>
      </c>
      <c r="Y6">
        <f>HYPERLINK("https://klasma.github.io/Logging_1401/kartor_geotiff/S 1617-2023 georefererad karta.tif", "S 1617-2023")</f>
        <v/>
      </c>
      <c r="AA6">
        <f>HYPERLINK("https://klasma.github.io/Logging_1401/klagomål/S 1617-2023 FSC-klagomål.docx", "S 1617-2023")</f>
        <v/>
      </c>
      <c r="AB6">
        <f>HYPERLINK("https://klasma.github.io/Logging_1401/klagomålsmail/S 1617-2023 FSC-klagomål mail.docx", "S 1617-2023")</f>
        <v/>
      </c>
      <c r="AC6">
        <f>HYPERLINK("https://klasma.github.io/Logging_1401/tillsyn/S 1617-2023 tillsynsbegäran.docx", "S 1617-2023")</f>
        <v/>
      </c>
      <c r="AD6">
        <f>HYPERLINK("https://klasma.github.io/Logging_1401/tillsynsmail/S 1617-2023 tillsynsbegäran mail.docx", "S 1617-2023")</f>
        <v/>
      </c>
    </row>
    <row r="7" ht="15" customHeight="1">
      <c r="A7" t="inlineStr">
        <is>
          <t>A 25441-2022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44732</v>
      </c>
      <c r="E7" s="1" t="n">
        <v>46320</v>
      </c>
      <c r="F7" t="inlineStr">
        <is>
          <t>VÄSTRA GÖTALANDS LÄN</t>
        </is>
      </c>
      <c r="G7" t="inlineStr">
        <is>
          <t>HÄRRYDA</t>
        </is>
      </c>
      <c r="I7" t="n">
        <v>0.5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3</v>
      </c>
      <c r="V7" s="2" t="inlineStr">
        <is>
          <t>Spillkråka
Svartvit flugsnappare
Vanlig groda</t>
        </is>
      </c>
      <c r="W7">
        <f>HYPERLINK("https://klasma.github.io/Logging_1401/artfynd/A 25441-2022 artfynd.xlsx", "A 25441-2022")</f>
        <v/>
      </c>
      <c r="X7">
        <f>HYPERLINK("https://klasma.github.io/Logging_1401/kartor/A 25441-2022 karta.png", "A 25441-2022")</f>
        <v/>
      </c>
      <c r="Y7">
        <f>HYPERLINK("https://klasma.github.io/Logging_1401/kartor_geotiff/A 25441-2022 georefererad karta.tif", "A 25441-2022")</f>
        <v/>
      </c>
      <c r="AA7">
        <f>HYPERLINK("https://klasma.github.io/Logging_1401/klagomål/A 25441-2022 FSC-klagomål.docx", "A 25441-2022")</f>
        <v/>
      </c>
      <c r="AB7">
        <f>HYPERLINK("https://klasma.github.io/Logging_1401/klagomålsmail/A 25441-2022 FSC-klagomål mail.docx", "A 25441-2022")</f>
        <v/>
      </c>
      <c r="AC7">
        <f>HYPERLINK("https://klasma.github.io/Logging_1401/tillsyn/A 25441-2022 tillsynsbegäran.docx", "A 25441-2022")</f>
        <v/>
      </c>
      <c r="AD7">
        <f>HYPERLINK("https://klasma.github.io/Logging_1401/tillsynsmail/A 25441-2022 tillsynsbegäran mail.docx", "A 25441-2022")</f>
        <v/>
      </c>
      <c r="AE7">
        <f>HYPERLINK("https://klasma.github.io/Logging_1401/fåglar/A 25441-2022 prioriterade fågelarter.docx", "A 25441-2022")</f>
        <v/>
      </c>
    </row>
    <row r="8" ht="15" customHeight="1">
      <c r="A8" t="inlineStr">
        <is>
          <t>A 63596-2021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44508</v>
      </c>
      <c r="E8" s="1" t="n">
        <v>46320</v>
      </c>
      <c r="F8" t="inlineStr">
        <is>
          <t>VÄSTRA GÖTALANDS LÄN</t>
        </is>
      </c>
      <c r="G8" t="inlineStr">
        <is>
          <t>HÄRRYDA</t>
        </is>
      </c>
      <c r="I8" t="n">
        <v>0.7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5</v>
      </c>
      <c r="U8" t="n">
        <v>4</v>
      </c>
      <c r="V8" s="2" t="inlineStr">
        <is>
          <t>Stubbtrådmossa
Flagellkvastmossa
Kornknutmossa</t>
        </is>
      </c>
      <c r="W8">
        <f>HYPERLINK("https://klasma.github.io/Logging_1401/artfynd/A 63596-2021 artfynd.xlsx", "A 63596-2021")</f>
        <v/>
      </c>
      <c r="X8">
        <f>HYPERLINK("https://klasma.github.io/Logging_1401/kartor/A 63596-2021 karta.png", "A 63596-2021")</f>
        <v/>
      </c>
      <c r="Y8">
        <f>HYPERLINK("https://klasma.github.io/Logging_1401/kartor_geotiff/A 63596-2021 georefererad karta.tif", "A 63596-2021")</f>
        <v/>
      </c>
      <c r="AA8">
        <f>HYPERLINK("https://klasma.github.io/Logging_1401/klagomål/A 63596-2021 FSC-klagomål.docx", "A 63596-2021")</f>
        <v/>
      </c>
      <c r="AB8">
        <f>HYPERLINK("https://klasma.github.io/Logging_1401/klagomålsmail/A 63596-2021 FSC-klagomål mail.docx", "A 63596-2021")</f>
        <v/>
      </c>
      <c r="AC8">
        <f>HYPERLINK("https://klasma.github.io/Logging_1401/tillsyn/A 63596-2021 tillsynsbegäran.docx", "A 63596-2021")</f>
        <v/>
      </c>
      <c r="AD8">
        <f>HYPERLINK("https://klasma.github.io/Logging_1401/tillsynsmail/A 63596-2021 tillsynsbegäran mail.docx", "A 63596-2021")</f>
        <v/>
      </c>
    </row>
    <row r="9" ht="15" customHeight="1">
      <c r="A9" t="inlineStr">
        <is>
          <t>A 55708-2023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45239</v>
      </c>
      <c r="E9" s="1" t="n">
        <v>46320</v>
      </c>
      <c r="F9" t="inlineStr">
        <is>
          <t>VÄSTRA GÖTALANDS LÄN</t>
        </is>
      </c>
      <c r="G9" t="inlineStr">
        <is>
          <t>HÄRRYDA</t>
        </is>
      </c>
      <c r="I9" t="n">
        <v>5.4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3</v>
      </c>
      <c r="T9" t="n">
        <v>4</v>
      </c>
      <c r="U9" t="n">
        <v>4</v>
      </c>
      <c r="V9" s="2" t="inlineStr">
        <is>
          <t>Grönhjon
Talltita
Kungsfågel</t>
        </is>
      </c>
      <c r="W9">
        <f>HYPERLINK("https://klasma.github.io/Logging_1401/artfynd/A 55708-2023 artfynd.xlsx", "A 55708-2023")</f>
        <v/>
      </c>
      <c r="X9">
        <f>HYPERLINK("https://klasma.github.io/Logging_1401/kartor/A 55708-2023 karta.png", "A 55708-2023")</f>
        <v/>
      </c>
      <c r="Y9">
        <f>HYPERLINK("https://klasma.github.io/Logging_1401/kartor_geotiff/A 55708-2023 georefererad karta.tif", "A 55708-2023")</f>
        <v/>
      </c>
      <c r="AA9">
        <f>HYPERLINK("https://klasma.github.io/Logging_1401/klagomål/A 55708-2023 FSC-klagomål.docx", "A 55708-2023")</f>
        <v/>
      </c>
      <c r="AB9">
        <f>HYPERLINK("https://klasma.github.io/Logging_1401/klagomålsmail/A 55708-2023 FSC-klagomål mail.docx", "A 55708-2023")</f>
        <v/>
      </c>
      <c r="AC9">
        <f>HYPERLINK("https://klasma.github.io/Logging_1401/tillsyn/A 55708-2023 tillsynsbegäran.docx", "A 55708-2023")</f>
        <v/>
      </c>
      <c r="AD9">
        <f>HYPERLINK("https://klasma.github.io/Logging_1401/tillsynsmail/A 55708-2023 tillsynsbegäran mail.docx", "A 55708-2023")</f>
        <v/>
      </c>
      <c r="AE9">
        <f>HYPERLINK("https://klasma.github.io/Logging_1401/fåglar/A 55708-2023 prioriterade fågelarter.docx", "A 55708-2023")</f>
        <v/>
      </c>
    </row>
    <row r="10" ht="15" customHeight="1">
      <c r="A10" t="inlineStr">
        <is>
          <t>A 15249-2026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46105</v>
      </c>
      <c r="E10" s="1" t="n">
        <v>46320</v>
      </c>
      <c r="F10" t="inlineStr">
        <is>
          <t>VÄSTRA GÖTALANDS LÄN</t>
        </is>
      </c>
      <c r="G10" t="inlineStr">
        <is>
          <t>HÄRRYDA</t>
        </is>
      </c>
      <c r="I10" t="n">
        <v>2.4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3</v>
      </c>
      <c r="U10" t="n">
        <v>0</v>
      </c>
      <c r="V10" s="2" t="inlineStr">
        <is>
          <t>Kornknutmossa
Smal svampklubba
Stor revmossa</t>
        </is>
      </c>
      <c r="W10">
        <f>HYPERLINK("https://klasma.github.io/Logging_1401/artfynd/A 15249-2026 artfynd.xlsx", "A 15249-2026")</f>
        <v/>
      </c>
      <c r="X10">
        <f>HYPERLINK("https://klasma.github.io/Logging_1401/kartor/A 15249-2026 karta.png", "A 15249-2026")</f>
        <v/>
      </c>
      <c r="Y10">
        <f>HYPERLINK("https://klasma.github.io/Logging_1401/kartor_geotiff/A 15249-2026 georefererad karta.tif", "A 15249-2026")</f>
        <v/>
      </c>
      <c r="AA10">
        <f>HYPERLINK("https://klasma.github.io/Logging_1401/klagomål/A 15249-2026 FSC-klagomål.docx", "A 15249-2026")</f>
        <v/>
      </c>
      <c r="AB10">
        <f>HYPERLINK("https://klasma.github.io/Logging_1401/klagomålsmail/A 15249-2026 FSC-klagomål mail.docx", "A 15249-2026")</f>
        <v/>
      </c>
      <c r="AC10">
        <f>HYPERLINK("https://klasma.github.io/Logging_1401/tillsyn/A 15249-2026 tillsynsbegäran.docx", "A 15249-2026")</f>
        <v/>
      </c>
      <c r="AD10">
        <f>HYPERLINK("https://klasma.github.io/Logging_1401/tillsynsmail/A 15249-2026 tillsynsbegäran mail.docx", "A 15249-2026")</f>
        <v/>
      </c>
    </row>
    <row r="11" ht="15" customHeight="1">
      <c r="A11" t="inlineStr">
        <is>
          <t>A 37201-2023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45155</v>
      </c>
      <c r="E11" s="1" t="n">
        <v>46320</v>
      </c>
      <c r="F11" t="inlineStr">
        <is>
          <t>VÄSTRA GÖTALANDS LÄN</t>
        </is>
      </c>
      <c r="G11" t="inlineStr">
        <is>
          <t>HÄRRYDA</t>
        </is>
      </c>
      <c r="I11" t="n">
        <v>1.2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3</v>
      </c>
      <c r="T11" t="n">
        <v>3</v>
      </c>
      <c r="U11" t="n">
        <v>0</v>
      </c>
      <c r="V11" s="2" t="inlineStr">
        <is>
          <t>Sexfläckig bastardsvärmare
Slåttergubbe
Mindre vattensalamander</t>
        </is>
      </c>
      <c r="W11">
        <f>HYPERLINK("https://klasma.github.io/Logging_1401/artfynd/A 37201-2023 artfynd.xlsx", "A 37201-2023")</f>
        <v/>
      </c>
      <c r="X11">
        <f>HYPERLINK("https://klasma.github.io/Logging_1401/kartor/A 37201-2023 karta.png", "A 37201-2023")</f>
        <v/>
      </c>
      <c r="Y11">
        <f>HYPERLINK("https://klasma.github.io/Logging_1401/kartor_geotiff/A 37201-2023 georefererad karta.tif", "A 37201-2023")</f>
        <v/>
      </c>
      <c r="AA11">
        <f>HYPERLINK("https://klasma.github.io/Logging_1401/klagomål/A 37201-2023 FSC-klagomål.docx", "A 37201-2023")</f>
        <v/>
      </c>
      <c r="AB11">
        <f>HYPERLINK("https://klasma.github.io/Logging_1401/klagomålsmail/A 37201-2023 FSC-klagomål mail.docx", "A 37201-2023")</f>
        <v/>
      </c>
      <c r="AC11">
        <f>HYPERLINK("https://klasma.github.io/Logging_1401/tillsyn/A 37201-2023 tillsynsbegäran.docx", "A 37201-2023")</f>
        <v/>
      </c>
      <c r="AD11">
        <f>HYPERLINK("https://klasma.github.io/Logging_1401/tillsynsmail/A 37201-2023 tillsynsbegäran mail.docx", "A 37201-2023")</f>
        <v/>
      </c>
    </row>
    <row r="12" ht="15" customHeight="1">
      <c r="A12" t="inlineStr">
        <is>
          <t>S 2595-2026</t>
        </is>
      </c>
      <c r="B12" t="inlineStr">
        <is>
          <t>samrådsanmälan</t>
        </is>
      </c>
      <c r="C12" t="inlineStr">
        <is>
          <t>Annan skogsbruksåtgärd</t>
        </is>
      </c>
      <c r="D12" s="1" t="n">
        <v>46289</v>
      </c>
      <c r="E12" s="1" t="n">
        <v>46320</v>
      </c>
      <c r="F12" t="inlineStr">
        <is>
          <t>VÄSTRA GÖTALANDS LÄN</t>
        </is>
      </c>
      <c r="G12" t="inlineStr">
        <is>
          <t>HÄRRYDA</t>
        </is>
      </c>
      <c r="I12" t="n">
        <v>4.6</v>
      </c>
      <c r="J12" t="n">
        <v>3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3</v>
      </c>
      <c r="T12" t="n">
        <v>3</v>
      </c>
      <c r="U12" t="n">
        <v>0</v>
      </c>
      <c r="V12" s="2" t="inlineStr">
        <is>
          <t>Nötkråka
Kungsfågel
Vanlig groda</t>
        </is>
      </c>
      <c r="W12">
        <f>HYPERLINK("https://klasma.github.io/Logging_1401/artfynd/S 2595-2026 artfynd.xlsx", "S 2595-2026")</f>
        <v/>
      </c>
      <c r="X12">
        <f>HYPERLINK("https://klasma.github.io/Logging_1401/kartor/S 2595-2026 karta.png", "S 2595-2026")</f>
        <v/>
      </c>
      <c r="Y12">
        <f>HYPERLINK("https://klasma.github.io/Logging_1401/kartor_geotiff/S 2595-2026 georefererad karta.tif", "S 2595-2026")</f>
        <v/>
      </c>
      <c r="AA12">
        <f>HYPERLINK("https://klasma.github.io/Logging_1401/klagomål/S 2595-2026 FSC-klagomål.docx", "S 2595-2026")</f>
        <v/>
      </c>
      <c r="AB12">
        <f>HYPERLINK("https://klasma.github.io/Logging_1401/klagomålsmail/S 2595-2026 FSC-klagomål mail.docx", "S 2595-2026")</f>
        <v/>
      </c>
      <c r="AC12">
        <f>HYPERLINK("https://klasma.github.io/Logging_1401/tillsyn/S 2595-2026 tillsynsbegäran.docx", "S 2595-2026")</f>
        <v/>
      </c>
      <c r="AD12">
        <f>HYPERLINK("https://klasma.github.io/Logging_1401/tillsynsmail/S 2595-2026 tillsynsbegäran mail.docx", "S 2595-2026")</f>
        <v/>
      </c>
      <c r="AE12">
        <f>HYPERLINK("https://klasma.github.io/Logging_1401/fåglar/S 2595-2026 prioriterade fågelarter.docx", "S 2595-2026")</f>
        <v/>
      </c>
    </row>
    <row r="13" ht="15" customHeight="1">
      <c r="A13" t="inlineStr">
        <is>
          <t>A 27676-2026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46190</v>
      </c>
      <c r="E13" s="1" t="n">
        <v>46320</v>
      </c>
      <c r="F13" t="inlineStr">
        <is>
          <t>VÄSTRA GÖTALANDS LÄN</t>
        </is>
      </c>
      <c r="G13" t="inlineStr">
        <is>
          <t>HÄRRYDA</t>
        </is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s="2" t="inlineStr">
        <is>
          <t>Klippfrullania
Revlummer</t>
        </is>
      </c>
      <c r="W13">
        <f>HYPERLINK("https://klasma.github.io/Logging_1401/artfynd/A 27676-2026 artfynd.xlsx", "A 27676-2026")</f>
        <v/>
      </c>
      <c r="X13">
        <f>HYPERLINK("https://klasma.github.io/Logging_1401/kartor/A 27676-2026 karta.png", "A 27676-2026")</f>
        <v/>
      </c>
      <c r="Y13">
        <f>HYPERLINK("https://klasma.github.io/Logging_1401/kartor_geotiff/A 27676-2026 georefererad karta.tif", "A 27676-2026")</f>
        <v/>
      </c>
      <c r="AA13">
        <f>HYPERLINK("https://klasma.github.io/Logging_1401/klagomål/A 27676-2026 FSC-klagomål.docx", "A 27676-2026")</f>
        <v/>
      </c>
      <c r="AB13">
        <f>HYPERLINK("https://klasma.github.io/Logging_1401/klagomålsmail/A 27676-2026 FSC-klagomål mail.docx", "A 27676-2026")</f>
        <v/>
      </c>
      <c r="AC13">
        <f>HYPERLINK("https://klasma.github.io/Logging_1401/tillsyn/A 27676-2026 tillsynsbegäran.docx", "A 27676-2026")</f>
        <v/>
      </c>
      <c r="AD13">
        <f>HYPERLINK("https://klasma.github.io/Logging_1401/tillsynsmail/A 27676-2026 tillsynsbegäran mail.docx", "A 27676-2026")</f>
        <v/>
      </c>
    </row>
    <row r="14" ht="15" customHeight="1">
      <c r="A14" t="inlineStr">
        <is>
          <t>A 55274-2025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45968</v>
      </c>
      <c r="E14" s="1" t="n">
        <v>46320</v>
      </c>
      <c r="F14" t="inlineStr">
        <is>
          <t>VÄSTRA GÖTALANDS LÄN</t>
        </is>
      </c>
      <c r="G14" t="inlineStr">
        <is>
          <t>HÄRRYDA</t>
        </is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Skuggmossa
Trådticka</t>
        </is>
      </c>
      <c r="W14">
        <f>HYPERLINK("https://klasma.github.io/Logging_1401/artfynd/A 55274-2025 artfynd.xlsx", "A 55274-2025")</f>
        <v/>
      </c>
      <c r="X14">
        <f>HYPERLINK("https://klasma.github.io/Logging_1401/kartor/A 55274-2025 karta.png", "A 55274-2025")</f>
        <v/>
      </c>
      <c r="Y14">
        <f>HYPERLINK("https://klasma.github.io/Logging_1401/kartor_geotiff/A 55274-2025 georefererad karta.tif", "A 55274-2025")</f>
        <v/>
      </c>
      <c r="AA14">
        <f>HYPERLINK("https://klasma.github.io/Logging_1401/klagomål/A 55274-2025 FSC-klagomål.docx", "A 55274-2025")</f>
        <v/>
      </c>
      <c r="AB14">
        <f>HYPERLINK("https://klasma.github.io/Logging_1401/klagomålsmail/A 55274-2025 FSC-klagomål mail.docx", "A 55274-2025")</f>
        <v/>
      </c>
      <c r="AC14">
        <f>HYPERLINK("https://klasma.github.io/Logging_1401/tillsyn/A 55274-2025 tillsynsbegäran.docx", "A 55274-2025")</f>
        <v/>
      </c>
      <c r="AD14">
        <f>HYPERLINK("https://klasma.github.io/Logging_1401/tillsynsmail/A 55274-2025 tillsynsbegäran mail.docx", "A 55274-2025")</f>
        <v/>
      </c>
    </row>
    <row r="15" ht="15" customHeight="1">
      <c r="A15" t="inlineStr">
        <is>
          <t>A 34938-2022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44796</v>
      </c>
      <c r="E15" s="1" t="n">
        <v>46320</v>
      </c>
      <c r="F15" t="inlineStr">
        <is>
          <t>VÄSTRA GÖTALANDS LÄN</t>
        </is>
      </c>
      <c r="G15" t="inlineStr">
        <is>
          <t>HÄRRYDA</t>
        </is>
      </c>
      <c r="I15" t="n">
        <v>2.3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s="2" t="inlineStr">
        <is>
          <t>Igelkott
Revlummer</t>
        </is>
      </c>
      <c r="W15">
        <f>HYPERLINK("https://klasma.github.io/Logging_1401/artfynd/A 34938-2022 artfynd.xlsx", "A 34938-2022")</f>
        <v/>
      </c>
      <c r="X15">
        <f>HYPERLINK("https://klasma.github.io/Logging_1401/kartor/A 34938-2022 karta.png", "A 34938-2022")</f>
        <v/>
      </c>
      <c r="Y15">
        <f>HYPERLINK("https://klasma.github.io/Logging_1401/kartor_geotiff/A 34938-2022 georefererad karta.tif", "A 34938-2022")</f>
        <v/>
      </c>
      <c r="AA15">
        <f>HYPERLINK("https://klasma.github.io/Logging_1401/klagomål/A 34938-2022 FSC-klagomål.docx", "A 34938-2022")</f>
        <v/>
      </c>
      <c r="AB15">
        <f>HYPERLINK("https://klasma.github.io/Logging_1401/klagomålsmail/A 34938-2022 FSC-klagomål mail.docx", "A 34938-2022")</f>
        <v/>
      </c>
      <c r="AC15">
        <f>HYPERLINK("https://klasma.github.io/Logging_1401/tillsyn/A 34938-2022 tillsynsbegäran.docx", "A 34938-2022")</f>
        <v/>
      </c>
      <c r="AD15">
        <f>HYPERLINK("https://klasma.github.io/Logging_1401/tillsynsmail/A 34938-2022 tillsynsbegäran mail.docx", "A 34938-2022")</f>
        <v/>
      </c>
    </row>
    <row r="16" ht="15" customHeight="1">
      <c r="A16" t="inlineStr">
        <is>
          <t>A 9491-2025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45715</v>
      </c>
      <c r="E16" s="1" t="n">
        <v>46320</v>
      </c>
      <c r="F16" t="inlineStr">
        <is>
          <t>VÄSTRA GÖTALANDS LÄN</t>
        </is>
      </c>
      <c r="G16" t="inlineStr">
        <is>
          <t>HÄRRYDA</t>
        </is>
      </c>
      <c r="I16" t="n">
        <v>1.5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Stor revmossa
Revlummer</t>
        </is>
      </c>
      <c r="W16">
        <f>HYPERLINK("https://klasma.github.io/Logging_1401/artfynd/A 9491-2025 artfynd.xlsx", "A 9491-2025")</f>
        <v/>
      </c>
      <c r="X16">
        <f>HYPERLINK("https://klasma.github.io/Logging_1401/kartor/A 9491-2025 karta.png", "A 9491-2025")</f>
        <v/>
      </c>
      <c r="Y16">
        <f>HYPERLINK("https://klasma.github.io/Logging_1401/kartor_geotiff/A 9491-2025 georefererad karta.tif", "A 9491-2025")</f>
        <v/>
      </c>
      <c r="AA16">
        <f>HYPERLINK("https://klasma.github.io/Logging_1401/klagomål/A 9491-2025 FSC-klagomål.docx", "A 9491-2025")</f>
        <v/>
      </c>
      <c r="AB16">
        <f>HYPERLINK("https://klasma.github.io/Logging_1401/klagomålsmail/A 9491-2025 FSC-klagomål mail.docx", "A 9491-2025")</f>
        <v/>
      </c>
      <c r="AC16">
        <f>HYPERLINK("https://klasma.github.io/Logging_1401/tillsyn/A 9491-2025 tillsynsbegäran.docx", "A 9491-2025")</f>
        <v/>
      </c>
      <c r="AD16">
        <f>HYPERLINK("https://klasma.github.io/Logging_1401/tillsynsmail/A 9491-2025 tillsynsbegäran mail.docx", "A 9491-2025")</f>
        <v/>
      </c>
    </row>
    <row r="17" ht="15" customHeight="1">
      <c r="A17" t="inlineStr">
        <is>
          <t>A 42034-2026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46304</v>
      </c>
      <c r="E17" s="1" t="n">
        <v>46320</v>
      </c>
      <c r="F17" t="inlineStr">
        <is>
          <t>VÄSTRA GÖTALANDS LÄN</t>
        </is>
      </c>
      <c r="G17" t="inlineStr">
        <is>
          <t>HÄRRYDA</t>
        </is>
      </c>
      <c r="I17" t="n">
        <v>1.4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s="2" t="inlineStr">
        <is>
          <t>Grönpyrola
Kambräken</t>
        </is>
      </c>
      <c r="W17">
        <f>HYPERLINK("https://klasma.github.io/Logging_1401/artfynd/A 42034-2026 artfynd.xlsx", "A 42034-2026")</f>
        <v/>
      </c>
      <c r="X17">
        <f>HYPERLINK("https://klasma.github.io/Logging_1401/kartor/A 42034-2026 karta.png", "A 42034-2026")</f>
        <v/>
      </c>
      <c r="Y17">
        <f>HYPERLINK("https://klasma.github.io/Logging_1401/kartor_geotiff/A 42034-2026 georefererad karta.tif", "A 42034-2026")</f>
        <v/>
      </c>
      <c r="AA17">
        <f>HYPERLINK("https://klasma.github.io/Logging_1401/klagomål/A 42034-2026 FSC-klagomål.docx", "A 42034-2026")</f>
        <v/>
      </c>
      <c r="AB17">
        <f>HYPERLINK("https://klasma.github.io/Logging_1401/klagomålsmail/A 42034-2026 FSC-klagomål mail.docx", "A 42034-2026")</f>
        <v/>
      </c>
      <c r="AC17">
        <f>HYPERLINK("https://klasma.github.io/Logging_1401/tillsyn/A 42034-2026 tillsynsbegäran.docx", "A 42034-2026")</f>
        <v/>
      </c>
      <c r="AD17">
        <f>HYPERLINK("https://klasma.github.io/Logging_1401/tillsynsmail/A 42034-2026 tillsynsbegäran mail.docx", "A 42034-2026")</f>
        <v/>
      </c>
    </row>
    <row r="18" ht="15" customHeight="1">
      <c r="A18" t="inlineStr">
        <is>
          <t>A 43785-2026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46316</v>
      </c>
      <c r="E18" s="1" t="n">
        <v>46320</v>
      </c>
      <c r="F18" t="inlineStr">
        <is>
          <t>VÄSTRA GÖTALANDS LÄN</t>
        </is>
      </c>
      <c r="G18" t="inlineStr">
        <is>
          <t>HÄRRYDA</t>
        </is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Stor revmossa
Revlummer</t>
        </is>
      </c>
      <c r="W18">
        <f>HYPERLINK("https://klasma.github.io/Logging_1401/artfynd/A 43785-2026 artfynd.xlsx", "A 43785-2026")</f>
        <v/>
      </c>
      <c r="X18">
        <f>HYPERLINK("https://klasma.github.io/Logging_1401/kartor/A 43785-2026 karta.png", "A 43785-2026")</f>
        <v/>
      </c>
      <c r="Y18">
        <f>HYPERLINK("https://klasma.github.io/Logging_1401/kartor_geotiff/A 43785-2026 georefererad karta.tif", "A 43785-2026")</f>
        <v/>
      </c>
      <c r="AA18">
        <f>HYPERLINK("https://klasma.github.io/Logging_1401/klagomål/A 43785-2026 FSC-klagomål.docx", "A 43785-2026")</f>
        <v/>
      </c>
      <c r="AB18">
        <f>HYPERLINK("https://klasma.github.io/Logging_1401/klagomålsmail/A 43785-2026 FSC-klagomål mail.docx", "A 43785-2026")</f>
        <v/>
      </c>
      <c r="AC18">
        <f>HYPERLINK("https://klasma.github.io/Logging_1401/tillsyn/A 43785-2026 tillsynsbegäran.docx", "A 43785-2026")</f>
        <v/>
      </c>
      <c r="AD18">
        <f>HYPERLINK("https://klasma.github.io/Logging_1401/tillsynsmail/A 43785-2026 tillsynsbegäran mail.docx", "A 43785-2026")</f>
        <v/>
      </c>
    </row>
    <row r="19" ht="15" customHeight="1">
      <c r="A19" t="inlineStr">
        <is>
          <t>A 63592-2021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44508</v>
      </c>
      <c r="E19" s="1" t="n">
        <v>46320</v>
      </c>
      <c r="F19" t="inlineStr">
        <is>
          <t>VÄSTRA GÖTALANDS LÄN</t>
        </is>
      </c>
      <c r="G19" t="inlineStr">
        <is>
          <t>HÄRRYDA</t>
        </is>
      </c>
      <c r="I19" t="n">
        <v>8.699999999999999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Stor revmossa
Vanlig padda</t>
        </is>
      </c>
      <c r="W19">
        <f>HYPERLINK("https://klasma.github.io/Logging_1401/artfynd/A 63592-2021 artfynd.xlsx", "A 63592-2021")</f>
        <v/>
      </c>
      <c r="X19">
        <f>HYPERLINK("https://klasma.github.io/Logging_1401/kartor/A 63592-2021 karta.png", "A 63592-2021")</f>
        <v/>
      </c>
      <c r="Y19">
        <f>HYPERLINK("https://klasma.github.io/Logging_1401/kartor_geotiff/A 63592-2021 georefererad karta.tif", "A 63592-2021")</f>
        <v/>
      </c>
      <c r="AA19">
        <f>HYPERLINK("https://klasma.github.io/Logging_1401/klagomål/A 63592-2021 FSC-klagomål.docx", "A 63592-2021")</f>
        <v/>
      </c>
      <c r="AB19">
        <f>HYPERLINK("https://klasma.github.io/Logging_1401/klagomålsmail/A 63592-2021 FSC-klagomål mail.docx", "A 63592-2021")</f>
        <v/>
      </c>
      <c r="AC19">
        <f>HYPERLINK("https://klasma.github.io/Logging_1401/tillsyn/A 63592-2021 tillsynsbegäran.docx", "A 63592-2021")</f>
        <v/>
      </c>
      <c r="AD19">
        <f>HYPERLINK("https://klasma.github.io/Logging_1401/tillsynsmail/A 63592-2021 tillsynsbegäran mail.docx", "A 63592-2021")</f>
        <v/>
      </c>
    </row>
    <row r="20" ht="15" customHeight="1">
      <c r="A20" t="inlineStr">
        <is>
          <t>S 1401-2020</t>
        </is>
      </c>
      <c r="B20" t="inlineStr">
        <is>
          <t>samrådsanmälan</t>
        </is>
      </c>
      <c r="C20" t="inlineStr">
        <is>
          <t>Åtgärd i nyckelbiotop</t>
        </is>
      </c>
      <c r="D20" s="1" t="n">
        <v>43998</v>
      </c>
      <c r="E20" s="1" t="n">
        <v>46320</v>
      </c>
      <c r="F20" t="inlineStr">
        <is>
          <t>VÄSTRA GÖTALANDS LÄN</t>
        </is>
      </c>
      <c r="G20" t="inlineStr">
        <is>
          <t>HÄRRYDA</t>
        </is>
      </c>
      <c r="I20" t="n">
        <v>0.3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s="2" t="inlineStr">
        <is>
          <t>Kattfotslav
Havstulpanlav</t>
        </is>
      </c>
      <c r="W20">
        <f>HYPERLINK("https://klasma.github.io/Logging_1401/artfynd/S 1401-2020 artfynd.xlsx", "S 1401-2020")</f>
        <v/>
      </c>
      <c r="X20">
        <f>HYPERLINK("https://klasma.github.io/Logging_1401/kartor/S 1401-2020 karta.png", "S 1401-2020")</f>
        <v/>
      </c>
      <c r="Y20">
        <f>HYPERLINK("https://klasma.github.io/Logging_1401/kartor_geotiff/S 1401-2020 georefererad karta.tif", "S 1401-2020")</f>
        <v/>
      </c>
      <c r="AA20">
        <f>HYPERLINK("https://klasma.github.io/Logging_1401/klagomål/S 1401-2020 FSC-klagomål.docx", "S 1401-2020")</f>
        <v/>
      </c>
      <c r="AB20">
        <f>HYPERLINK("https://klasma.github.io/Logging_1401/klagomålsmail/S 1401-2020 FSC-klagomål mail.docx", "S 1401-2020")</f>
        <v/>
      </c>
      <c r="AC20">
        <f>HYPERLINK("https://klasma.github.io/Logging_1401/tillsyn/S 1401-2020 tillsynsbegäran.docx", "S 1401-2020")</f>
        <v/>
      </c>
      <c r="AD20">
        <f>HYPERLINK("https://klasma.github.io/Logging_1401/tillsynsmail/S 1401-2020 tillsynsbegäran mail.docx", "S 1401-2020")</f>
        <v/>
      </c>
    </row>
    <row r="21" ht="15" customHeight="1">
      <c r="A21" t="inlineStr">
        <is>
          <t>A 15683-2022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44663</v>
      </c>
      <c r="E21" s="1" t="n">
        <v>46320</v>
      </c>
      <c r="F21" t="inlineStr">
        <is>
          <t>VÄSTRA GÖTALANDS LÄN</t>
        </is>
      </c>
      <c r="G21" t="inlineStr">
        <is>
          <t>HÄRRYDA</t>
        </is>
      </c>
      <c r="I21" t="n">
        <v>0.1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Kungsfågel</t>
        </is>
      </c>
      <c r="W21">
        <f>HYPERLINK("https://klasma.github.io/Logging_1401/artfynd/A 15683-2022 artfynd.xlsx", "A 15683-2022")</f>
        <v/>
      </c>
      <c r="X21">
        <f>HYPERLINK("https://klasma.github.io/Logging_1401/kartor/A 15683-2022 karta.png", "A 15683-2022")</f>
        <v/>
      </c>
      <c r="Y21">
        <f>HYPERLINK("https://klasma.github.io/Logging_1401/kartor_geotiff/A 15683-2022 georefererad karta.tif", "A 15683-2022")</f>
        <v/>
      </c>
      <c r="AA21">
        <f>HYPERLINK("https://klasma.github.io/Logging_1401/klagomål/A 15683-2022 FSC-klagomål.docx", "A 15683-2022")</f>
        <v/>
      </c>
      <c r="AB21">
        <f>HYPERLINK("https://klasma.github.io/Logging_1401/klagomålsmail/A 15683-2022 FSC-klagomål mail.docx", "A 15683-2022")</f>
        <v/>
      </c>
      <c r="AC21">
        <f>HYPERLINK("https://klasma.github.io/Logging_1401/tillsyn/A 15683-2022 tillsynsbegäran.docx", "A 15683-2022")</f>
        <v/>
      </c>
      <c r="AD21">
        <f>HYPERLINK("https://klasma.github.io/Logging_1401/tillsynsmail/A 15683-2022 tillsynsbegäran mail.docx", "A 15683-2022")</f>
        <v/>
      </c>
    </row>
    <row r="22" ht="15" customHeight="1">
      <c r="A22" t="inlineStr">
        <is>
          <t>A 55686-2023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45239</v>
      </c>
      <c r="E22" s="1" t="n">
        <v>46320</v>
      </c>
      <c r="F22" t="inlineStr">
        <is>
          <t>VÄSTRA GÖTALANDS LÄN</t>
        </is>
      </c>
      <c r="G22" t="inlineStr">
        <is>
          <t>HÄRRYDA</t>
        </is>
      </c>
      <c r="I22" t="n">
        <v>6.6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3</v>
      </c>
      <c r="U22" t="n">
        <v>3</v>
      </c>
      <c r="V22" s="2" t="inlineStr">
        <is>
          <t>Tjäder</t>
        </is>
      </c>
      <c r="W22">
        <f>HYPERLINK("https://klasma.github.io/Logging_1401/artfynd/A 55686-2023 artfynd.xlsx", "A 55686-2023")</f>
        <v/>
      </c>
      <c r="X22">
        <f>HYPERLINK("https://klasma.github.io/Logging_1401/kartor/A 55686-2023 karta.png", "A 55686-2023")</f>
        <v/>
      </c>
      <c r="Y22">
        <f>HYPERLINK("https://klasma.github.io/Logging_1401/kartor_geotiff/A 55686-2023 georefererad karta.tif", "A 55686-2023")</f>
        <v/>
      </c>
      <c r="AA22">
        <f>HYPERLINK("https://klasma.github.io/Logging_1401/klagomål/A 55686-2023 FSC-klagomål.docx", "A 55686-2023")</f>
        <v/>
      </c>
      <c r="AB22">
        <f>HYPERLINK("https://klasma.github.io/Logging_1401/klagomålsmail/A 55686-2023 FSC-klagomål mail.docx", "A 55686-2023")</f>
        <v/>
      </c>
      <c r="AC22">
        <f>HYPERLINK("https://klasma.github.io/Logging_1401/tillsyn/A 55686-2023 tillsynsbegäran.docx", "A 55686-2023")</f>
        <v/>
      </c>
      <c r="AD22">
        <f>HYPERLINK("https://klasma.github.io/Logging_1401/tillsynsmail/A 55686-2023 tillsynsbegäran mail.docx", "A 55686-2023")</f>
        <v/>
      </c>
      <c r="AE22">
        <f>HYPERLINK("https://klasma.github.io/Logging_1401/fåglar/A 55686-2023 prioriterade fågelarter.docx", "A 55686-2023")</f>
        <v/>
      </c>
    </row>
    <row r="23" ht="15" customHeight="1">
      <c r="A23" t="inlineStr">
        <is>
          <t>A 23492-2026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46163</v>
      </c>
      <c r="E23" s="1" t="n">
        <v>46320</v>
      </c>
      <c r="F23" t="inlineStr">
        <is>
          <t>VÄSTRA GÖTALANDS LÄN</t>
        </is>
      </c>
      <c r="G23" t="inlineStr">
        <is>
          <t>HÄRRYDA</t>
        </is>
      </c>
      <c r="I23" t="n">
        <v>3.1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Revlummer</t>
        </is>
      </c>
      <c r="W23">
        <f>HYPERLINK("https://klasma.github.io/Logging_1401/artfynd/A 23492-2026 artfynd.xlsx", "A 23492-2026")</f>
        <v/>
      </c>
      <c r="X23">
        <f>HYPERLINK("https://klasma.github.io/Logging_1401/kartor/A 23492-2026 karta.png", "A 23492-2026")</f>
        <v/>
      </c>
      <c r="Y23">
        <f>HYPERLINK("https://klasma.github.io/Logging_1401/kartor_geotiff/A 23492-2026 georefererad karta.tif", "A 23492-2026")</f>
        <v/>
      </c>
      <c r="AA23">
        <f>HYPERLINK("https://klasma.github.io/Logging_1401/klagomål/A 23492-2026 FSC-klagomål.docx", "A 23492-2026")</f>
        <v/>
      </c>
      <c r="AB23">
        <f>HYPERLINK("https://klasma.github.io/Logging_1401/klagomålsmail/A 23492-2026 FSC-klagomål mail.docx", "A 23492-2026")</f>
        <v/>
      </c>
      <c r="AC23">
        <f>HYPERLINK("https://klasma.github.io/Logging_1401/tillsyn/A 23492-2026 tillsynsbegäran.docx", "A 23492-2026")</f>
        <v/>
      </c>
      <c r="AD23">
        <f>HYPERLINK("https://klasma.github.io/Logging_1401/tillsynsmail/A 23492-2026 tillsynsbegäran mail.docx", "A 23492-2026")</f>
        <v/>
      </c>
    </row>
    <row r="24" ht="15" customHeight="1">
      <c r="A24" t="inlineStr">
        <is>
          <t>A 58481-2022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44902</v>
      </c>
      <c r="E24" s="1" t="n">
        <v>46320</v>
      </c>
      <c r="F24" t="inlineStr">
        <is>
          <t>VÄSTRA GÖTALANDS LÄN</t>
        </is>
      </c>
      <c r="G24" t="inlineStr">
        <is>
          <t>HÄRRYDA</t>
        </is>
      </c>
      <c r="I24" t="n">
        <v>2.4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Revlummer</t>
        </is>
      </c>
      <c r="W24">
        <f>HYPERLINK("https://klasma.github.io/Logging_1401/artfynd/A 58481-2022 artfynd.xlsx", "A 58481-2022")</f>
        <v/>
      </c>
      <c r="X24">
        <f>HYPERLINK("https://klasma.github.io/Logging_1401/kartor/A 58481-2022 karta.png", "A 58481-2022")</f>
        <v/>
      </c>
      <c r="Y24">
        <f>HYPERLINK("https://klasma.github.io/Logging_1401/kartor_geotiff/A 58481-2022 georefererad karta.tif", "A 58481-2022")</f>
        <v/>
      </c>
      <c r="AA24">
        <f>HYPERLINK("https://klasma.github.io/Logging_1401/klagomål/A 58481-2022 FSC-klagomål.docx", "A 58481-2022")</f>
        <v/>
      </c>
      <c r="AB24">
        <f>HYPERLINK("https://klasma.github.io/Logging_1401/klagomålsmail/A 58481-2022 FSC-klagomål mail.docx", "A 58481-2022")</f>
        <v/>
      </c>
      <c r="AC24">
        <f>HYPERLINK("https://klasma.github.io/Logging_1401/tillsyn/A 58481-2022 tillsynsbegäran.docx", "A 58481-2022")</f>
        <v/>
      </c>
      <c r="AD24">
        <f>HYPERLINK("https://klasma.github.io/Logging_1401/tillsynsmail/A 58481-2022 tillsynsbegäran mail.docx", "A 58481-2022")</f>
        <v/>
      </c>
    </row>
    <row r="25" ht="15" customHeight="1">
      <c r="A25" t="inlineStr">
        <is>
          <t>A 52164-2023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45224</v>
      </c>
      <c r="E25" s="1" t="n">
        <v>46320</v>
      </c>
      <c r="F25" t="inlineStr">
        <is>
          <t>VÄSTRA GÖTALANDS LÄN</t>
        </is>
      </c>
      <c r="G25" t="inlineStr">
        <is>
          <t>HÄRRYDA</t>
        </is>
      </c>
      <c r="I25" t="n">
        <v>5.4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Klippfrullania</t>
        </is>
      </c>
      <c r="W25">
        <f>HYPERLINK("https://klasma.github.io/Logging_1401/artfynd/A 52164-2023 artfynd.xlsx", "A 52164-2023")</f>
        <v/>
      </c>
      <c r="X25">
        <f>HYPERLINK("https://klasma.github.io/Logging_1401/kartor/A 52164-2023 karta.png", "A 52164-2023")</f>
        <v/>
      </c>
      <c r="Y25">
        <f>HYPERLINK("https://klasma.github.io/Logging_1401/kartor_geotiff/A 52164-2023 georefererad karta.tif", "A 52164-2023")</f>
        <v/>
      </c>
      <c r="AA25">
        <f>HYPERLINK("https://klasma.github.io/Logging_1401/klagomål/A 52164-2023 FSC-klagomål.docx", "A 52164-2023")</f>
        <v/>
      </c>
      <c r="AB25">
        <f>HYPERLINK("https://klasma.github.io/Logging_1401/klagomålsmail/A 52164-2023 FSC-klagomål mail.docx", "A 52164-2023")</f>
        <v/>
      </c>
      <c r="AC25">
        <f>HYPERLINK("https://klasma.github.io/Logging_1401/tillsyn/A 52164-2023 tillsynsbegäran.docx", "A 52164-2023")</f>
        <v/>
      </c>
      <c r="AD25">
        <f>HYPERLINK("https://klasma.github.io/Logging_1401/tillsynsmail/A 52164-2023 tillsynsbegäran mail.docx", "A 52164-2023")</f>
        <v/>
      </c>
    </row>
    <row r="26" ht="15" customHeight="1">
      <c r="A26" t="inlineStr">
        <is>
          <t>A 27482-2025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45813</v>
      </c>
      <c r="E26" s="1" t="n">
        <v>46320</v>
      </c>
      <c r="F26" t="inlineStr">
        <is>
          <t>VÄSTRA GÖTALANDS LÄN</t>
        </is>
      </c>
      <c r="G26" t="inlineStr">
        <is>
          <t>HÄRRYDA</t>
        </is>
      </c>
      <c r="I26" t="n">
        <v>14.1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Kortskaftad ärgspik</t>
        </is>
      </c>
      <c r="W26">
        <f>HYPERLINK("https://klasma.github.io/Logging_1401/artfynd/A 27482-2025 artfynd.xlsx", "A 27482-2025")</f>
        <v/>
      </c>
      <c r="X26">
        <f>HYPERLINK("https://klasma.github.io/Logging_1401/kartor/A 27482-2025 karta.png", "A 27482-2025")</f>
        <v/>
      </c>
      <c r="Y26">
        <f>HYPERLINK("https://klasma.github.io/Logging_1401/kartor_geotiff/A 27482-2025 georefererad karta.tif", "A 27482-2025")</f>
        <v/>
      </c>
      <c r="AA26">
        <f>HYPERLINK("https://klasma.github.io/Logging_1401/klagomål/A 27482-2025 FSC-klagomål.docx", "A 27482-2025")</f>
        <v/>
      </c>
      <c r="AB26">
        <f>HYPERLINK("https://klasma.github.io/Logging_1401/klagomålsmail/A 27482-2025 FSC-klagomål mail.docx", "A 27482-2025")</f>
        <v/>
      </c>
      <c r="AC26">
        <f>HYPERLINK("https://klasma.github.io/Logging_1401/tillsyn/A 27482-2025 tillsynsbegäran.docx", "A 27482-2025")</f>
        <v/>
      </c>
      <c r="AD26">
        <f>HYPERLINK("https://klasma.github.io/Logging_1401/tillsynsmail/A 27482-2025 tillsynsbegäran mail.docx", "A 27482-2025")</f>
        <v/>
      </c>
    </row>
    <row r="27" ht="15" customHeight="1">
      <c r="A27" t="inlineStr">
        <is>
          <t>A 40282-2026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46294</v>
      </c>
      <c r="E27" s="1" t="n">
        <v>46320</v>
      </c>
      <c r="F27" t="inlineStr">
        <is>
          <t>VÄSTRA GÖTALANDS LÄN</t>
        </is>
      </c>
      <c r="G27" t="inlineStr">
        <is>
          <t>HÄRRYDA</t>
        </is>
      </c>
      <c r="I27" t="n">
        <v>1.8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3</v>
      </c>
      <c r="U27" t="n">
        <v>0</v>
      </c>
      <c r="V27" s="2" t="inlineStr">
        <is>
          <t>Rostfläck</t>
        </is>
      </c>
      <c r="W27">
        <f>HYPERLINK("https://klasma.github.io/Logging_1401/artfynd/A 40282-2026 artfynd.xlsx", "A 40282-2026")</f>
        <v/>
      </c>
      <c r="X27">
        <f>HYPERLINK("https://klasma.github.io/Logging_1401/kartor/A 40282-2026 karta.png", "A 40282-2026")</f>
        <v/>
      </c>
      <c r="Y27">
        <f>HYPERLINK("https://klasma.github.io/Logging_1401/kartor_geotiff/A 40282-2026 georefererad karta.tif", "A 40282-2026")</f>
        <v/>
      </c>
      <c r="AA27">
        <f>HYPERLINK("https://klasma.github.io/Logging_1401/klagomål/A 40282-2026 FSC-klagomål.docx", "A 40282-2026")</f>
        <v/>
      </c>
      <c r="AB27">
        <f>HYPERLINK("https://klasma.github.io/Logging_1401/klagomålsmail/A 40282-2026 FSC-klagomål mail.docx", "A 40282-2026")</f>
        <v/>
      </c>
      <c r="AC27">
        <f>HYPERLINK("https://klasma.github.io/Logging_1401/tillsyn/A 40282-2026 tillsynsbegäran.docx", "A 40282-2026")</f>
        <v/>
      </c>
      <c r="AD27">
        <f>HYPERLINK("https://klasma.github.io/Logging_1401/tillsynsmail/A 40282-2026 tillsynsbegäran mail.docx", "A 40282-2026")</f>
        <v/>
      </c>
    </row>
    <row r="28" ht="15" customHeight="1">
      <c r="A28" t="inlineStr">
        <is>
          <t>A 14259-2025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45740</v>
      </c>
      <c r="E28" s="1" t="n">
        <v>46320</v>
      </c>
      <c r="F28" t="inlineStr">
        <is>
          <t>VÄSTRA GÖTALANDS LÄN</t>
        </is>
      </c>
      <c r="G28" t="inlineStr">
        <is>
          <t>HÄRRYDA</t>
        </is>
      </c>
      <c r="I28" t="n">
        <v>1.9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s="2" t="inlineStr">
        <is>
          <t>Ask</t>
        </is>
      </c>
      <c r="W28">
        <f>HYPERLINK("https://klasma.github.io/Logging_1401/artfynd/A 14259-2025 artfynd.xlsx", "A 14259-2025")</f>
        <v/>
      </c>
      <c r="X28">
        <f>HYPERLINK("https://klasma.github.io/Logging_1401/kartor/A 14259-2025 karta.png", "A 14259-2025")</f>
        <v/>
      </c>
      <c r="Y28">
        <f>HYPERLINK("https://klasma.github.io/Logging_1401/kartor_geotiff/A 14259-2025 georefererad karta.tif", "A 14259-2025")</f>
        <v/>
      </c>
      <c r="AA28">
        <f>HYPERLINK("https://klasma.github.io/Logging_1401/klagomål/A 14259-2025 FSC-klagomål.docx", "A 14259-2025")</f>
        <v/>
      </c>
      <c r="AB28">
        <f>HYPERLINK("https://klasma.github.io/Logging_1401/klagomålsmail/A 14259-2025 FSC-klagomål mail.docx", "A 14259-2025")</f>
        <v/>
      </c>
      <c r="AC28">
        <f>HYPERLINK("https://klasma.github.io/Logging_1401/tillsyn/A 14259-2025 tillsynsbegäran.docx", "A 14259-2025")</f>
        <v/>
      </c>
      <c r="AD28">
        <f>HYPERLINK("https://klasma.github.io/Logging_1401/tillsynsmail/A 14259-2025 tillsynsbegäran mail.docx", "A 14259-2025")</f>
        <v/>
      </c>
    </row>
    <row r="29" ht="15" customHeight="1">
      <c r="A29" t="inlineStr">
        <is>
          <t>A 47362-2024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45587</v>
      </c>
      <c r="E29" s="1" t="n">
        <v>46320</v>
      </c>
      <c r="F29" t="inlineStr">
        <is>
          <t>VÄSTRA GÖTALANDS LÄN</t>
        </is>
      </c>
      <c r="G29" t="inlineStr">
        <is>
          <t>HÄRRYDA</t>
        </is>
      </c>
      <c r="I29" t="n">
        <v>3.5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Revlummer</t>
        </is>
      </c>
      <c r="W29">
        <f>HYPERLINK("https://klasma.github.io/Logging_1401/artfynd/A 47362-2024 artfynd.xlsx", "A 47362-2024")</f>
        <v/>
      </c>
      <c r="X29">
        <f>HYPERLINK("https://klasma.github.io/Logging_1401/kartor/A 47362-2024 karta.png", "A 47362-2024")</f>
        <v/>
      </c>
      <c r="Y29">
        <f>HYPERLINK("https://klasma.github.io/Logging_1401/kartor_geotiff/A 47362-2024 georefererad karta.tif", "A 47362-2024")</f>
        <v/>
      </c>
      <c r="AA29">
        <f>HYPERLINK("https://klasma.github.io/Logging_1401/klagomål/A 47362-2024 FSC-klagomål.docx", "A 47362-2024")</f>
        <v/>
      </c>
      <c r="AB29">
        <f>HYPERLINK("https://klasma.github.io/Logging_1401/klagomålsmail/A 47362-2024 FSC-klagomål mail.docx", "A 47362-2024")</f>
        <v/>
      </c>
      <c r="AC29">
        <f>HYPERLINK("https://klasma.github.io/Logging_1401/tillsyn/A 47362-2024 tillsynsbegäran.docx", "A 47362-2024")</f>
        <v/>
      </c>
      <c r="AD29">
        <f>HYPERLINK("https://klasma.github.io/Logging_1401/tillsynsmail/A 47362-2024 tillsynsbegäran mail.docx", "A 47362-2024")</f>
        <v/>
      </c>
    </row>
    <row r="30" ht="15" customHeight="1">
      <c r="A30" t="inlineStr">
        <is>
          <t>A 41457-2023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45175</v>
      </c>
      <c r="E30" s="1" t="n">
        <v>46320</v>
      </c>
      <c r="F30" t="inlineStr">
        <is>
          <t>VÄSTRA GÖTALANDS LÄN</t>
        </is>
      </c>
      <c r="G30" t="inlineStr">
        <is>
          <t>HÄRRYDA</t>
        </is>
      </c>
      <c r="I30" t="n">
        <v>0.7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Almkrämskinn</t>
        </is>
      </c>
      <c r="W30">
        <f>HYPERLINK("https://klasma.github.io/Logging_1401/artfynd/A 41457-2023 artfynd.xlsx", "A 41457-2023")</f>
        <v/>
      </c>
      <c r="X30">
        <f>HYPERLINK("https://klasma.github.io/Logging_1401/kartor/A 41457-2023 karta.png", "A 41457-2023")</f>
        <v/>
      </c>
      <c r="Y30">
        <f>HYPERLINK("https://klasma.github.io/Logging_1401/kartor_geotiff/A 41457-2023 georefererad karta.tif", "A 41457-2023")</f>
        <v/>
      </c>
      <c r="AA30">
        <f>HYPERLINK("https://klasma.github.io/Logging_1401/klagomål/A 41457-2023 FSC-klagomål.docx", "A 41457-2023")</f>
        <v/>
      </c>
      <c r="AB30">
        <f>HYPERLINK("https://klasma.github.io/Logging_1401/klagomålsmail/A 41457-2023 FSC-klagomål mail.docx", "A 41457-2023")</f>
        <v/>
      </c>
      <c r="AC30">
        <f>HYPERLINK("https://klasma.github.io/Logging_1401/tillsyn/A 41457-2023 tillsynsbegäran.docx", "A 41457-2023")</f>
        <v/>
      </c>
      <c r="AD30">
        <f>HYPERLINK("https://klasma.github.io/Logging_1401/tillsynsmail/A 41457-2023 tillsynsbegäran mail.docx", "A 41457-2023")</f>
        <v/>
      </c>
    </row>
    <row r="31" ht="15" customHeight="1">
      <c r="A31" t="inlineStr">
        <is>
          <t>A 19977-2022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44697</v>
      </c>
      <c r="E31" s="1" t="n">
        <v>46320</v>
      </c>
      <c r="F31" t="inlineStr">
        <is>
          <t>VÄSTRA GÖTALANDS LÄN</t>
        </is>
      </c>
      <c r="G31" t="inlineStr">
        <is>
          <t>HÄRRYDA</t>
        </is>
      </c>
      <c r="I31" t="n">
        <v>4.7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Revlummer</t>
        </is>
      </c>
      <c r="W31">
        <f>HYPERLINK("https://klasma.github.io/Logging_1401/artfynd/A 19977-2022 artfynd.xlsx", "A 19977-2022")</f>
        <v/>
      </c>
      <c r="X31">
        <f>HYPERLINK("https://klasma.github.io/Logging_1401/kartor/A 19977-2022 karta.png", "A 19977-2022")</f>
        <v/>
      </c>
      <c r="Y31">
        <f>HYPERLINK("https://klasma.github.io/Logging_1401/kartor_geotiff/A 19977-2022 georefererad karta.tif", "A 19977-2022")</f>
        <v/>
      </c>
      <c r="AA31">
        <f>HYPERLINK("https://klasma.github.io/Logging_1401/klagomål/A 19977-2022 FSC-klagomål.docx", "A 19977-2022")</f>
        <v/>
      </c>
      <c r="AB31">
        <f>HYPERLINK("https://klasma.github.io/Logging_1401/klagomålsmail/A 19977-2022 FSC-klagomål mail.docx", "A 19977-2022")</f>
        <v/>
      </c>
      <c r="AC31">
        <f>HYPERLINK("https://klasma.github.io/Logging_1401/tillsyn/A 19977-2022 tillsynsbegäran.docx", "A 19977-2022")</f>
        <v/>
      </c>
      <c r="AD31">
        <f>HYPERLINK("https://klasma.github.io/Logging_1401/tillsynsmail/A 19977-2022 tillsynsbegäran mail.docx", "A 19977-2022")</f>
        <v/>
      </c>
    </row>
    <row r="32" ht="15" customHeight="1">
      <c r="A32" t="inlineStr">
        <is>
          <t>A 21398-2023</t>
        </is>
      </c>
      <c r="B32" t="inlineStr">
        <is>
          <t>avverkningsanmälan</t>
        </is>
      </c>
      <c r="C32" t="inlineStr">
        <is>
          <t>Avverkning för att bevara och utveckla /försöksver</t>
        </is>
      </c>
      <c r="D32" s="1" t="n">
        <v>45063</v>
      </c>
      <c r="E32" s="1" t="n">
        <v>46320</v>
      </c>
      <c r="F32" t="inlineStr">
        <is>
          <t>VÄSTRA GÖTALANDS LÄN</t>
        </is>
      </c>
      <c r="G32" t="inlineStr">
        <is>
          <t>HÄRRYDA</t>
        </is>
      </c>
      <c r="I32" t="n">
        <v>6.6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Revlummer</t>
        </is>
      </c>
      <c r="W32">
        <f>HYPERLINK("https://klasma.github.io/Logging_1401/artfynd/A 21398-2023 artfynd.xlsx", "A 21398-2023")</f>
        <v/>
      </c>
      <c r="X32">
        <f>HYPERLINK("https://klasma.github.io/Logging_1401/kartor/A 21398-2023 karta.png", "A 21398-2023")</f>
        <v/>
      </c>
      <c r="Y32">
        <f>HYPERLINK("https://klasma.github.io/Logging_1401/kartor_geotiff/A 21398-2023 georefererad karta.tif", "A 21398-2023")</f>
        <v/>
      </c>
      <c r="AA32">
        <f>HYPERLINK("https://klasma.github.io/Logging_1401/klagomål/A 21398-2023 FSC-klagomål.docx", "A 21398-2023")</f>
        <v/>
      </c>
      <c r="AB32">
        <f>HYPERLINK("https://klasma.github.io/Logging_1401/klagomålsmail/A 21398-2023 FSC-klagomål mail.docx", "A 21398-2023")</f>
        <v/>
      </c>
      <c r="AC32">
        <f>HYPERLINK("https://klasma.github.io/Logging_1401/tillsyn/A 21398-2023 tillsynsbegäran.docx", "A 21398-2023")</f>
        <v/>
      </c>
      <c r="AD32">
        <f>HYPERLINK("https://klasma.github.io/Logging_1401/tillsynsmail/A 21398-2023 tillsynsbegäran mail.docx", "A 21398-2023")</f>
        <v/>
      </c>
    </row>
    <row r="33" ht="15" customHeight="1">
      <c r="A33" t="inlineStr">
        <is>
          <t>A 25504-2022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44732</v>
      </c>
      <c r="E33" s="1" t="n">
        <v>46320</v>
      </c>
      <c r="F33" t="inlineStr">
        <is>
          <t>VÄSTRA GÖTALANDS LÄN</t>
        </is>
      </c>
      <c r="G33" t="inlineStr">
        <is>
          <t>HÄRRYDA</t>
        </is>
      </c>
      <c r="I33" t="n">
        <v>0.6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6111-2022</t>
        </is>
      </c>
      <c r="B34" t="inlineStr">
        <is>
          <t>avverkningsanmälan</t>
        </is>
      </c>
      <c r="C34" t="inlineStr">
        <is>
          <t>Avverkning för annat ändamål</t>
        </is>
      </c>
      <c r="D34" s="1" t="n">
        <v>44599</v>
      </c>
      <c r="E34" s="1" t="n">
        <v>46320</v>
      </c>
      <c r="F34" t="inlineStr">
        <is>
          <t>VÄSTRA GÖTALANDS LÄN</t>
        </is>
      </c>
      <c r="G34" t="inlineStr">
        <is>
          <t>HÄRRYDA</t>
        </is>
      </c>
      <c r="I34" t="n">
        <v>5.9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10460-2022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44623</v>
      </c>
      <c r="E35" s="1" t="n">
        <v>46320</v>
      </c>
      <c r="F35" t="inlineStr">
        <is>
          <t>VÄSTRA GÖTALANDS LÄN</t>
        </is>
      </c>
      <c r="G35" t="inlineStr">
        <is>
          <t>HÄRRYDA</t>
        </is>
      </c>
      <c r="I35" t="n">
        <v>1.5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21780-2022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44708</v>
      </c>
      <c r="E36" s="1" t="n">
        <v>46320</v>
      </c>
      <c r="F36" t="inlineStr">
        <is>
          <t>VÄSTRA GÖTALANDS LÄN</t>
        </is>
      </c>
      <c r="G36" t="inlineStr">
        <is>
          <t>HÄRRYDA</t>
        </is>
      </c>
      <c r="I36" t="n">
        <v>1.4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59767-2021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44494</v>
      </c>
      <c r="E37" s="1" t="n">
        <v>46320</v>
      </c>
      <c r="F37" t="inlineStr">
        <is>
          <t>VÄSTRA GÖTALANDS LÄN</t>
        </is>
      </c>
      <c r="G37" t="inlineStr">
        <is>
          <t>HÄRRYDA</t>
        </is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9165-2022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44615</v>
      </c>
      <c r="E38" s="1" t="n">
        <v>46320</v>
      </c>
      <c r="F38" t="inlineStr">
        <is>
          <t>VÄSTRA GÖTALANDS LÄN</t>
        </is>
      </c>
      <c r="G38" t="inlineStr">
        <is>
          <t>HÄRRYDA</t>
        </is>
      </c>
      <c r="I38" t="n">
        <v>1.3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32869-2022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44784</v>
      </c>
      <c r="E39" s="1" t="n">
        <v>46320</v>
      </c>
      <c r="F39" t="inlineStr">
        <is>
          <t>VÄSTRA GÖTALANDS LÄN</t>
        </is>
      </c>
      <c r="G39" t="inlineStr">
        <is>
          <t>HÄRRYDA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71648-2021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44543</v>
      </c>
      <c r="E40" s="1" t="n">
        <v>46320</v>
      </c>
      <c r="F40" t="inlineStr">
        <is>
          <t>VÄSTRA GÖTALANDS LÄN</t>
        </is>
      </c>
      <c r="G40" t="inlineStr">
        <is>
          <t>HÄRRYDA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19782-2022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44694</v>
      </c>
      <c r="E41" s="1" t="n">
        <v>46320</v>
      </c>
      <c r="F41" t="inlineStr">
        <is>
          <t>VÄSTRA GÖTALANDS LÄN</t>
        </is>
      </c>
      <c r="G41" t="inlineStr">
        <is>
          <t>HÄRRYDA</t>
        </is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63595-2021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44508</v>
      </c>
      <c r="E42" s="1" t="n">
        <v>46320</v>
      </c>
      <c r="F42" t="inlineStr">
        <is>
          <t>VÄSTRA GÖTALANDS LÄN</t>
        </is>
      </c>
      <c r="G42" t="inlineStr">
        <is>
          <t>HÄRRYDA</t>
        </is>
      </c>
      <c r="I42" t="n">
        <v>1.2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51162-2023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45219</v>
      </c>
      <c r="E43" s="1" t="n">
        <v>46320</v>
      </c>
      <c r="F43" t="inlineStr">
        <is>
          <t>VÄSTRA GÖTALANDS LÄN</t>
        </is>
      </c>
      <c r="G43" t="inlineStr">
        <is>
          <t>HÄRRYDA</t>
        </is>
      </c>
      <c r="I43" t="n">
        <v>0.6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64560-2023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45281</v>
      </c>
      <c r="E44" s="1" t="n">
        <v>46320</v>
      </c>
      <c r="F44" t="inlineStr">
        <is>
          <t>VÄSTRA GÖTALANDS LÄN</t>
        </is>
      </c>
      <c r="G44" t="inlineStr">
        <is>
          <t>HÄRRYDA</t>
        </is>
      </c>
      <c r="I44" t="n">
        <v>7.1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4433-2025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45686</v>
      </c>
      <c r="E45" s="1" t="n">
        <v>46320</v>
      </c>
      <c r="F45" t="inlineStr">
        <is>
          <t>VÄSTRA GÖTALANDS LÄN</t>
        </is>
      </c>
      <c r="G45" t="inlineStr">
        <is>
          <t>HÄRRYDA</t>
        </is>
      </c>
      <c r="I45" t="n">
        <v>4.3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12091-2024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45377</v>
      </c>
      <c r="E46" s="1" t="n">
        <v>46320</v>
      </c>
      <c r="F46" t="inlineStr">
        <is>
          <t>VÄSTRA GÖTALANDS LÄN</t>
        </is>
      </c>
      <c r="G46" t="inlineStr">
        <is>
          <t>HÄRRYDA</t>
        </is>
      </c>
      <c r="I46" t="n">
        <v>1.5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40273-2025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45895</v>
      </c>
      <c r="E47" s="1" t="n">
        <v>46320</v>
      </c>
      <c r="F47" t="inlineStr">
        <is>
          <t>VÄSTRA GÖTALANDS LÄN</t>
        </is>
      </c>
      <c r="G47" t="inlineStr">
        <is>
          <t>HÄRRYDA</t>
        </is>
      </c>
      <c r="H47" t="inlineStr">
        <is>
          <t>Sveaskog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40306-2025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45895</v>
      </c>
      <c r="E48" s="1" t="n">
        <v>46320</v>
      </c>
      <c r="F48" t="inlineStr">
        <is>
          <t>VÄSTRA GÖTALANDS LÄN</t>
        </is>
      </c>
      <c r="G48" t="inlineStr">
        <is>
          <t>HÄRRYDA</t>
        </is>
      </c>
      <c r="I48" t="n">
        <v>1.3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25499-2022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44732</v>
      </c>
      <c r="E49" s="1" t="n">
        <v>46320</v>
      </c>
      <c r="F49" t="inlineStr">
        <is>
          <t>VÄSTRA GÖTALANDS LÄN</t>
        </is>
      </c>
      <c r="G49" t="inlineStr">
        <is>
          <t>HÄRRYDA</t>
        </is>
      </c>
      <c r="I49" t="n">
        <v>2.1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14183-2024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45393</v>
      </c>
      <c r="E50" s="1" t="n">
        <v>46320</v>
      </c>
      <c r="F50" t="inlineStr">
        <is>
          <t>VÄSTRA GÖTALANDS LÄN</t>
        </is>
      </c>
      <c r="G50" t="inlineStr">
        <is>
          <t>HÄRRYDA</t>
        </is>
      </c>
      <c r="I50" t="n">
        <v>1.8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14468-2023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45012</v>
      </c>
      <c r="E51" s="1" t="n">
        <v>46320</v>
      </c>
      <c r="F51" t="inlineStr">
        <is>
          <t>VÄSTRA GÖTALANDS LÄN</t>
        </is>
      </c>
      <c r="G51" t="inlineStr">
        <is>
          <t>HÄRRYDA</t>
        </is>
      </c>
      <c r="I51" t="n">
        <v>1.5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32866-2022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44784</v>
      </c>
      <c r="E52" s="1" t="n">
        <v>46320</v>
      </c>
      <c r="F52" t="inlineStr">
        <is>
          <t>VÄSTRA GÖTALANDS LÄN</t>
        </is>
      </c>
      <c r="G52" t="inlineStr">
        <is>
          <t>HÄRRYDA</t>
        </is>
      </c>
      <c r="I52" t="n">
        <v>1.4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9785-2026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46072</v>
      </c>
      <c r="E53" s="1" t="n">
        <v>46320</v>
      </c>
      <c r="F53" t="inlineStr">
        <is>
          <t>VÄSTRA GÖTALANDS LÄN</t>
        </is>
      </c>
      <c r="G53" t="inlineStr">
        <is>
          <t>HÄRRYDA</t>
        </is>
      </c>
      <c r="I53" t="n">
        <v>1.8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46349-2025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45925</v>
      </c>
      <c r="E54" s="1" t="n">
        <v>46320</v>
      </c>
      <c r="F54" t="inlineStr">
        <is>
          <t>VÄSTRA GÖTALANDS LÄN</t>
        </is>
      </c>
      <c r="G54" t="inlineStr">
        <is>
          <t>HÄRRYDA</t>
        </is>
      </c>
      <c r="I54" t="n">
        <v>2.2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51127-2023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45219</v>
      </c>
      <c r="E55" s="1" t="n">
        <v>46320</v>
      </c>
      <c r="F55" t="inlineStr">
        <is>
          <t>VÄSTRA GÖTALANDS LÄN</t>
        </is>
      </c>
      <c r="G55" t="inlineStr">
        <is>
          <t>HÄRRYDA</t>
        </is>
      </c>
      <c r="I55" t="n">
        <v>1.4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51130-2023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45219</v>
      </c>
      <c r="E56" s="1" t="n">
        <v>46320</v>
      </c>
      <c r="F56" t="inlineStr">
        <is>
          <t>VÄSTRA GÖTALANDS LÄN</t>
        </is>
      </c>
      <c r="G56" t="inlineStr">
        <is>
          <t>HÄRRYDA</t>
        </is>
      </c>
      <c r="I56" t="n">
        <v>2.8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48440-2025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45935</v>
      </c>
      <c r="E57" s="1" t="n">
        <v>46320</v>
      </c>
      <c r="F57" t="inlineStr">
        <is>
          <t>VÄSTRA GÖTALANDS LÄN</t>
        </is>
      </c>
      <c r="G57" t="inlineStr">
        <is>
          <t>HÄRRYDA</t>
        </is>
      </c>
      <c r="I57" t="n">
        <v>1.2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5985-2024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45336</v>
      </c>
      <c r="E58" s="1" t="n">
        <v>46320</v>
      </c>
      <c r="F58" t="inlineStr">
        <is>
          <t>VÄSTRA GÖTALANDS LÄN</t>
        </is>
      </c>
      <c r="G58" t="inlineStr">
        <is>
          <t>HÄRRYDA</t>
        </is>
      </c>
      <c r="I58" t="n">
        <v>0.8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48538-2025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45936</v>
      </c>
      <c r="E59" s="1" t="n">
        <v>46320</v>
      </c>
      <c r="F59" t="inlineStr">
        <is>
          <t>VÄSTRA GÖTALANDS LÄN</t>
        </is>
      </c>
      <c r="G59" t="inlineStr">
        <is>
          <t>HÄRRYDA</t>
        </is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64291-2023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45280</v>
      </c>
      <c r="E60" s="1" t="n">
        <v>46320</v>
      </c>
      <c r="F60" t="inlineStr">
        <is>
          <t>VÄSTRA GÖTALANDS LÄN</t>
        </is>
      </c>
      <c r="G60" t="inlineStr">
        <is>
          <t>HÄRRYDA</t>
        </is>
      </c>
      <c r="I60" t="n">
        <v>1.4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48432-2025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45934</v>
      </c>
      <c r="E61" s="1" t="n">
        <v>46320</v>
      </c>
      <c r="F61" t="inlineStr">
        <is>
          <t>VÄSTRA GÖTALANDS LÄN</t>
        </is>
      </c>
      <c r="G61" t="inlineStr">
        <is>
          <t>HÄRRYDA</t>
        </is>
      </c>
      <c r="I61" t="n">
        <v>1.1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47350-2024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45587</v>
      </c>
      <c r="E62" s="1" t="n">
        <v>46320</v>
      </c>
      <c r="F62" t="inlineStr">
        <is>
          <t>VÄSTRA GÖTALANDS LÄN</t>
        </is>
      </c>
      <c r="G62" t="inlineStr">
        <is>
          <t>HÄRRYDA</t>
        </is>
      </c>
      <c r="I62" t="n">
        <v>1.5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35404-2025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45855</v>
      </c>
      <c r="E63" s="1" t="n">
        <v>46320</v>
      </c>
      <c r="F63" t="inlineStr">
        <is>
          <t>VÄSTRA GÖTALANDS LÄN</t>
        </is>
      </c>
      <c r="G63" t="inlineStr">
        <is>
          <t>HÄRRYDA</t>
        </is>
      </c>
      <c r="I63" t="n">
        <v>2.5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51501-2025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45950</v>
      </c>
      <c r="E64" s="1" t="n">
        <v>46320</v>
      </c>
      <c r="F64" t="inlineStr">
        <is>
          <t>VÄSTRA GÖTALANDS LÄN</t>
        </is>
      </c>
      <c r="G64" t="inlineStr">
        <is>
          <t>HÄRRYDA</t>
        </is>
      </c>
      <c r="I64" t="n">
        <v>6.1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4315-2024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45324</v>
      </c>
      <c r="E65" s="1" t="n">
        <v>46320</v>
      </c>
      <c r="F65" t="inlineStr">
        <is>
          <t>VÄSTRA GÖTALANDS LÄN</t>
        </is>
      </c>
      <c r="G65" t="inlineStr">
        <is>
          <t>HÄRRYDA</t>
        </is>
      </c>
      <c r="I65" t="n">
        <v>0.9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1551-2022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44573</v>
      </c>
      <c r="E66" s="1" t="n">
        <v>46320</v>
      </c>
      <c r="F66" t="inlineStr">
        <is>
          <t>VÄSTRA GÖTALANDS LÄN</t>
        </is>
      </c>
      <c r="G66" t="inlineStr">
        <is>
          <t>HÄRRYDA</t>
        </is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51012-2023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45218</v>
      </c>
      <c r="E67" s="1" t="n">
        <v>46320</v>
      </c>
      <c r="F67" t="inlineStr">
        <is>
          <t>VÄSTRA GÖTALANDS LÄN</t>
        </is>
      </c>
      <c r="G67" t="inlineStr">
        <is>
          <t>HÄRRYDA</t>
        </is>
      </c>
      <c r="H67" t="inlineStr">
        <is>
          <t>Sveaskog</t>
        </is>
      </c>
      <c r="I67" t="n">
        <v>1.1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56832-2023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45244</v>
      </c>
      <c r="E68" s="1" t="n">
        <v>46320</v>
      </c>
      <c r="F68" t="inlineStr">
        <is>
          <t>VÄSTRA GÖTALANDS LÄN</t>
        </is>
      </c>
      <c r="G68" t="inlineStr">
        <is>
          <t>HÄRRYDA</t>
        </is>
      </c>
      <c r="I68" t="n">
        <v>4.9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60432-2022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44911</v>
      </c>
      <c r="E69" s="1" t="n">
        <v>46320</v>
      </c>
      <c r="F69" t="inlineStr">
        <is>
          <t>VÄSTRA GÖTALANDS LÄN</t>
        </is>
      </c>
      <c r="G69" t="inlineStr">
        <is>
          <t>HÄRRYDA</t>
        </is>
      </c>
      <c r="I69" t="n">
        <v>0.9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2605-2024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45313</v>
      </c>
      <c r="E70" s="1" t="n">
        <v>46320</v>
      </c>
      <c r="F70" t="inlineStr">
        <is>
          <t>VÄSTRA GÖTALANDS LÄN</t>
        </is>
      </c>
      <c r="G70" t="inlineStr">
        <is>
          <t>HÄRRYDA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13108-2023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45002</v>
      </c>
      <c r="E71" s="1" t="n">
        <v>46320</v>
      </c>
      <c r="F71" t="inlineStr">
        <is>
          <t>VÄSTRA GÖTALANDS LÄN</t>
        </is>
      </c>
      <c r="G71" t="inlineStr">
        <is>
          <t>HÄRRYDA</t>
        </is>
      </c>
      <c r="I71" t="n">
        <v>1.7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29696-2023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45107</v>
      </c>
      <c r="E72" s="1" t="n">
        <v>46320</v>
      </c>
      <c r="F72" t="inlineStr">
        <is>
          <t>VÄSTRA GÖTALANDS LÄN</t>
        </is>
      </c>
      <c r="G72" t="inlineStr">
        <is>
          <t>HÄRRYDA</t>
        </is>
      </c>
      <c r="I72" t="n">
        <v>5.3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55273-2025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45968</v>
      </c>
      <c r="E73" s="1" t="n">
        <v>46320</v>
      </c>
      <c r="F73" t="inlineStr">
        <is>
          <t>VÄSTRA GÖTALANDS LÄN</t>
        </is>
      </c>
      <c r="G73" t="inlineStr">
        <is>
          <t>HÄRRYDA</t>
        </is>
      </c>
      <c r="I73" t="n">
        <v>2.8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5987-2024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45336</v>
      </c>
      <c r="E74" s="1" t="n">
        <v>46320</v>
      </c>
      <c r="F74" t="inlineStr">
        <is>
          <t>VÄSTRA GÖTALANDS LÄN</t>
        </is>
      </c>
      <c r="G74" t="inlineStr">
        <is>
          <t>HÄRRYDA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55071-2023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45237</v>
      </c>
      <c r="E75" s="1" t="n">
        <v>46320</v>
      </c>
      <c r="F75" t="inlineStr">
        <is>
          <t>VÄSTRA GÖTALANDS LÄN</t>
        </is>
      </c>
      <c r="G75" t="inlineStr">
        <is>
          <t>HÄRRYDA</t>
        </is>
      </c>
      <c r="I75" t="n">
        <v>1.5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51154-2023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45219</v>
      </c>
      <c r="E76" s="1" t="n">
        <v>46320</v>
      </c>
      <c r="F76" t="inlineStr">
        <is>
          <t>VÄSTRA GÖTALANDS LÄN</t>
        </is>
      </c>
      <c r="G76" t="inlineStr">
        <is>
          <t>HÄRRYDA</t>
        </is>
      </c>
      <c r="I76" t="n">
        <v>1.1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52166-2023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45224</v>
      </c>
      <c r="E77" s="1" t="n">
        <v>46320</v>
      </c>
      <c r="F77" t="inlineStr">
        <is>
          <t>VÄSTRA GÖTALANDS LÄN</t>
        </is>
      </c>
      <c r="G77" t="inlineStr">
        <is>
          <t>HÄRRYDA</t>
        </is>
      </c>
      <c r="I77" t="n">
        <v>0.9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30846-2026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46212</v>
      </c>
      <c r="E78" s="1" t="n">
        <v>46320</v>
      </c>
      <c r="F78" t="inlineStr">
        <is>
          <t>VÄSTRA GÖTALANDS LÄN</t>
        </is>
      </c>
      <c r="G78" t="inlineStr">
        <is>
          <t>HÄRRYDA</t>
        </is>
      </c>
      <c r="I78" t="n">
        <v>5.1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30869-2026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46212</v>
      </c>
      <c r="E79" s="1" t="n">
        <v>46320</v>
      </c>
      <c r="F79" t="inlineStr">
        <is>
          <t>VÄSTRA GÖTALANDS LÄN</t>
        </is>
      </c>
      <c r="G79" t="inlineStr">
        <is>
          <t>HÄRRYDA</t>
        </is>
      </c>
      <c r="I79" t="n">
        <v>3.3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60323-2025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45994</v>
      </c>
      <c r="E80" s="1" t="n">
        <v>46320</v>
      </c>
      <c r="F80" t="inlineStr">
        <is>
          <t>VÄSTRA GÖTALANDS LÄN</t>
        </is>
      </c>
      <c r="G80" t="inlineStr">
        <is>
          <t>HÄRRYDA</t>
        </is>
      </c>
      <c r="I80" t="n">
        <v>3.9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31521-2026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46223</v>
      </c>
      <c r="E81" s="1" t="n">
        <v>46320</v>
      </c>
      <c r="F81" t="inlineStr">
        <is>
          <t>VÄSTRA GÖTALANDS LÄN</t>
        </is>
      </c>
      <c r="G81" t="inlineStr">
        <is>
          <t>HÄRRYDA</t>
        </is>
      </c>
      <c r="I81" t="n">
        <v>2.8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31631-2026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46225</v>
      </c>
      <c r="E82" s="1" t="n">
        <v>46320</v>
      </c>
      <c r="F82" t="inlineStr">
        <is>
          <t>VÄSTRA GÖTALANDS LÄN</t>
        </is>
      </c>
      <c r="G82" t="inlineStr">
        <is>
          <t>HÄRRYDA</t>
        </is>
      </c>
      <c r="I82" t="n">
        <v>0.7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31825-2026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46230</v>
      </c>
      <c r="E83" s="1" t="n">
        <v>46320</v>
      </c>
      <c r="F83" t="inlineStr">
        <is>
          <t>VÄSTRA GÖTALANDS LÄN</t>
        </is>
      </c>
      <c r="G83" t="inlineStr">
        <is>
          <t>HÄRRYDA</t>
        </is>
      </c>
      <c r="I83" t="n">
        <v>1.2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7356-2025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45704</v>
      </c>
      <c r="E84" s="1" t="n">
        <v>46320</v>
      </c>
      <c r="F84" t="inlineStr">
        <is>
          <t>VÄSTRA GÖTALANDS LÄN</t>
        </is>
      </c>
      <c r="G84" t="inlineStr">
        <is>
          <t>HÄRRYDA</t>
        </is>
      </c>
      <c r="I84" t="n">
        <v>0.9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9492-2025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45715</v>
      </c>
      <c r="E85" s="1" t="n">
        <v>46320</v>
      </c>
      <c r="F85" t="inlineStr">
        <is>
          <t>VÄSTRA GÖTALANDS LÄN</t>
        </is>
      </c>
      <c r="G85" t="inlineStr">
        <is>
          <t>HÄRRYDA</t>
        </is>
      </c>
      <c r="I85" t="n">
        <v>2.2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9494-2025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45715</v>
      </c>
      <c r="E86" s="1" t="n">
        <v>46320</v>
      </c>
      <c r="F86" t="inlineStr">
        <is>
          <t>VÄSTRA GÖTALANDS LÄN</t>
        </is>
      </c>
      <c r="G86" t="inlineStr">
        <is>
          <t>HÄRRYDA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22271-2025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45785</v>
      </c>
      <c r="E87" s="1" t="n">
        <v>46320</v>
      </c>
      <c r="F87" t="inlineStr">
        <is>
          <t>VÄSTRA GÖTALANDS LÄN</t>
        </is>
      </c>
      <c r="G87" t="inlineStr">
        <is>
          <t>HÄRRYDA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32379-2026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46238</v>
      </c>
      <c r="E88" s="1" t="n">
        <v>46320</v>
      </c>
      <c r="F88" t="inlineStr">
        <is>
          <t>VÄSTRA GÖTALANDS LÄN</t>
        </is>
      </c>
      <c r="G88" t="inlineStr">
        <is>
          <t>HÄRRYDA</t>
        </is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32377-2026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46238</v>
      </c>
      <c r="E89" s="1" t="n">
        <v>46320</v>
      </c>
      <c r="F89" t="inlineStr">
        <is>
          <t>VÄSTRA GÖTALANDS LÄN</t>
        </is>
      </c>
      <c r="G89" t="inlineStr">
        <is>
          <t>HÄRRYDA</t>
        </is>
      </c>
      <c r="I89" t="n">
        <v>5.6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32378-2026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46238</v>
      </c>
      <c r="E90" s="1" t="n">
        <v>46320</v>
      </c>
      <c r="F90" t="inlineStr">
        <is>
          <t>VÄSTRA GÖTALANDS LÄN</t>
        </is>
      </c>
      <c r="G90" t="inlineStr">
        <is>
          <t>HÄRRYDA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24542-2025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45798</v>
      </c>
      <c r="E91" s="1" t="n">
        <v>46320</v>
      </c>
      <c r="F91" t="inlineStr">
        <is>
          <t>VÄSTRA GÖTALANDS LÄN</t>
        </is>
      </c>
      <c r="G91" t="inlineStr">
        <is>
          <t>HÄRRYDA</t>
        </is>
      </c>
      <c r="I91" t="n">
        <v>2.9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26992-2025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45811</v>
      </c>
      <c r="E92" s="1" t="n">
        <v>46320</v>
      </c>
      <c r="F92" t="inlineStr">
        <is>
          <t>VÄSTRA GÖTALANDS LÄN</t>
        </is>
      </c>
      <c r="G92" t="inlineStr">
        <is>
          <t>HÄRRYDA</t>
        </is>
      </c>
      <c r="I92" t="n">
        <v>3.9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27513-2025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45813</v>
      </c>
      <c r="E93" s="1" t="n">
        <v>46320</v>
      </c>
      <c r="F93" t="inlineStr">
        <is>
          <t>VÄSTRA GÖTALANDS LÄN</t>
        </is>
      </c>
      <c r="G93" t="inlineStr">
        <is>
          <t>HÄRRYDA</t>
        </is>
      </c>
      <c r="I93" t="n">
        <v>1.1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11697-2024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45373</v>
      </c>
      <c r="E94" s="1" t="n">
        <v>46320</v>
      </c>
      <c r="F94" t="inlineStr">
        <is>
          <t>VÄSTRA GÖTALANDS LÄN</t>
        </is>
      </c>
      <c r="G94" t="inlineStr">
        <is>
          <t>HÄRRYDA</t>
        </is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52045-2022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44873</v>
      </c>
      <c r="E95" s="1" t="n">
        <v>46320</v>
      </c>
      <c r="F95" t="inlineStr">
        <is>
          <t>VÄSTRA GÖTALANDS LÄN</t>
        </is>
      </c>
      <c r="G95" t="inlineStr">
        <is>
          <t>HÄRRYDA</t>
        </is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56558-2024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45625</v>
      </c>
      <c r="E96" s="1" t="n">
        <v>46320</v>
      </c>
      <c r="F96" t="inlineStr">
        <is>
          <t>VÄSTRA GÖTALANDS LÄN</t>
        </is>
      </c>
      <c r="G96" t="inlineStr">
        <is>
          <t>HÄRRYDA</t>
        </is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40751-2026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46296</v>
      </c>
      <c r="E97" s="1" t="n">
        <v>46320</v>
      </c>
      <c r="F97" t="inlineStr">
        <is>
          <t>VÄSTRA GÖTALANDS LÄN</t>
        </is>
      </c>
      <c r="G97" t="inlineStr">
        <is>
          <t>HÄRRYDA</t>
        </is>
      </c>
      <c r="I97" t="n">
        <v>2.6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40559-2026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46295</v>
      </c>
      <c r="E98" s="1" t="n">
        <v>46320</v>
      </c>
      <c r="F98" t="inlineStr">
        <is>
          <t>VÄSTRA GÖTALANDS LÄN</t>
        </is>
      </c>
      <c r="G98" t="inlineStr">
        <is>
          <t>HÄRRYDA</t>
        </is>
      </c>
      <c r="I98" t="n">
        <v>3.6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13951-2026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46098</v>
      </c>
      <c r="E99" s="1" t="n">
        <v>46320</v>
      </c>
      <c r="F99" t="inlineStr">
        <is>
          <t>VÄSTRA GÖTALANDS LÄN</t>
        </is>
      </c>
      <c r="G99" t="inlineStr">
        <is>
          <t>HÄRRYDA</t>
        </is>
      </c>
      <c r="I99" t="n">
        <v>0.8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7575-2025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45705</v>
      </c>
      <c r="E100" s="1" t="n">
        <v>46320</v>
      </c>
      <c r="F100" t="inlineStr">
        <is>
          <t>VÄSTRA GÖTALANDS LÄN</t>
        </is>
      </c>
      <c r="G100" t="inlineStr">
        <is>
          <t>HÄRRYDA</t>
        </is>
      </c>
      <c r="I100" t="n">
        <v>2.6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41605-2026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46302</v>
      </c>
      <c r="E101" s="1" t="n">
        <v>46320</v>
      </c>
      <c r="F101" t="inlineStr">
        <is>
          <t>VÄSTRA GÖTALANDS LÄN</t>
        </is>
      </c>
      <c r="G101" t="inlineStr">
        <is>
          <t>HÄRRYDA</t>
        </is>
      </c>
      <c r="I101" t="n">
        <v>2.3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41688-2026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46302</v>
      </c>
      <c r="E102" s="1" t="n">
        <v>46320</v>
      </c>
      <c r="F102" t="inlineStr">
        <is>
          <t>VÄSTRA GÖTALANDS LÄN</t>
        </is>
      </c>
      <c r="G102" t="inlineStr">
        <is>
          <t>HÄRRYDA</t>
        </is>
      </c>
      <c r="I102" t="n">
        <v>1.1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15698-2026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46107</v>
      </c>
      <c r="E103" s="1" t="n">
        <v>46320</v>
      </c>
      <c r="F103" t="inlineStr">
        <is>
          <t>VÄSTRA GÖTALANDS LÄN</t>
        </is>
      </c>
      <c r="G103" t="inlineStr">
        <is>
          <t>HÄRRYDA</t>
        </is>
      </c>
      <c r="I103" t="n">
        <v>1.3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15700-2026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46107</v>
      </c>
      <c r="E104" s="1" t="n">
        <v>46320</v>
      </c>
      <c r="F104" t="inlineStr">
        <is>
          <t>VÄSTRA GÖTALANDS LÄN</t>
        </is>
      </c>
      <c r="G104" t="inlineStr">
        <is>
          <t>HÄRRYDA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15704-2026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46107</v>
      </c>
      <c r="E105" s="1" t="n">
        <v>46320</v>
      </c>
      <c r="F105" t="inlineStr">
        <is>
          <t>VÄSTRA GÖTALANDS LÄN</t>
        </is>
      </c>
      <c r="G105" t="inlineStr">
        <is>
          <t>HÄRRYDA</t>
        </is>
      </c>
      <c r="I105" t="n">
        <v>3.2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15401-2026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46106</v>
      </c>
      <c r="E106" s="1" t="n">
        <v>46320</v>
      </c>
      <c r="F106" t="inlineStr">
        <is>
          <t>VÄSTRA GÖTALANDS LÄN</t>
        </is>
      </c>
      <c r="G106" t="inlineStr">
        <is>
          <t>HÄRRYDA</t>
        </is>
      </c>
      <c r="I106" t="n">
        <v>0.9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41684-2026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46302</v>
      </c>
      <c r="E107" s="1" t="n">
        <v>46320</v>
      </c>
      <c r="F107" t="inlineStr">
        <is>
          <t>VÄSTRA GÖTALANDS LÄN</t>
        </is>
      </c>
      <c r="G107" t="inlineStr">
        <is>
          <t>HÄRRYDA</t>
        </is>
      </c>
      <c r="I107" t="n">
        <v>1.4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41682-2026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46302</v>
      </c>
      <c r="E108" s="1" t="n">
        <v>46320</v>
      </c>
      <c r="F108" t="inlineStr">
        <is>
          <t>VÄSTRA GÖTALANDS LÄN</t>
        </is>
      </c>
      <c r="G108" t="inlineStr">
        <is>
          <t>HÄRRYDA</t>
        </is>
      </c>
      <c r="I108" t="n">
        <v>3.1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16509-2025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45751</v>
      </c>
      <c r="E109" s="1" t="n">
        <v>46320</v>
      </c>
      <c r="F109" t="inlineStr">
        <is>
          <t>VÄSTRA GÖTALANDS LÄN</t>
        </is>
      </c>
      <c r="G109" t="inlineStr">
        <is>
          <t>HÄRRYDA</t>
        </is>
      </c>
      <c r="I109" t="n">
        <v>3.2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41725-2024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45560</v>
      </c>
      <c r="E110" s="1" t="n">
        <v>46320</v>
      </c>
      <c r="F110" t="inlineStr">
        <is>
          <t>VÄSTRA GÖTALANDS LÄN</t>
        </is>
      </c>
      <c r="G110" t="inlineStr">
        <is>
          <t>HÄRRYDA</t>
        </is>
      </c>
      <c r="I110" t="n">
        <v>1.7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42220-2026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46306</v>
      </c>
      <c r="E111" s="1" t="n">
        <v>46320</v>
      </c>
      <c r="F111" t="inlineStr">
        <is>
          <t>VÄSTRA GÖTALANDS LÄN</t>
        </is>
      </c>
      <c r="G111" t="inlineStr">
        <is>
          <t>HÄRRYDA</t>
        </is>
      </c>
      <c r="I111" t="n">
        <v>2.4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42481-2026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46308</v>
      </c>
      <c r="E112" s="1" t="n">
        <v>46320</v>
      </c>
      <c r="F112" t="inlineStr">
        <is>
          <t>VÄSTRA GÖTALANDS LÄN</t>
        </is>
      </c>
      <c r="G112" t="inlineStr">
        <is>
          <t>HÄRRYDA</t>
        </is>
      </c>
      <c r="I112" t="n">
        <v>1.4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42819-2026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46309</v>
      </c>
      <c r="E113" s="1" t="n">
        <v>46320</v>
      </c>
      <c r="F113" t="inlineStr">
        <is>
          <t>VÄSTRA GÖTALANDS LÄN</t>
        </is>
      </c>
      <c r="G113" t="inlineStr">
        <is>
          <t>HÄRRYDA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42820-2026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46309</v>
      </c>
      <c r="E114" s="1" t="n">
        <v>46320</v>
      </c>
      <c r="F114" t="inlineStr">
        <is>
          <t>VÄSTRA GÖTALANDS LÄN</t>
        </is>
      </c>
      <c r="G114" t="inlineStr">
        <is>
          <t>HÄRRYDA</t>
        </is>
      </c>
      <c r="I114" t="n">
        <v>2.7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15480-2025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45747</v>
      </c>
      <c r="E115" s="1" t="n">
        <v>46320</v>
      </c>
      <c r="F115" t="inlineStr">
        <is>
          <t>VÄSTRA GÖTALANDS LÄN</t>
        </is>
      </c>
      <c r="G115" t="inlineStr">
        <is>
          <t>HÄRRYDA</t>
        </is>
      </c>
      <c r="I115" t="n">
        <v>5.6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61741-2025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46002</v>
      </c>
      <c r="E116" s="1" t="n">
        <v>46320</v>
      </c>
      <c r="F116" t="inlineStr">
        <is>
          <t>VÄSTRA GÖTALANDS LÄN</t>
        </is>
      </c>
      <c r="G116" t="inlineStr">
        <is>
          <t>HÄRRYDA</t>
        </is>
      </c>
      <c r="I116" t="n">
        <v>1.6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36502-2026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46269</v>
      </c>
      <c r="E117" s="1" t="n">
        <v>46320</v>
      </c>
      <c r="F117" t="inlineStr">
        <is>
          <t>VÄSTRA GÖTALANDS LÄN</t>
        </is>
      </c>
      <c r="G117" t="inlineStr">
        <is>
          <t>HÄRRYDA</t>
        </is>
      </c>
      <c r="I117" t="n">
        <v>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43792-2026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46316</v>
      </c>
      <c r="E118" s="1" t="n">
        <v>46320</v>
      </c>
      <c r="F118" t="inlineStr">
        <is>
          <t>VÄSTRA GÖTALANDS LÄN</t>
        </is>
      </c>
      <c r="G118" t="inlineStr">
        <is>
          <t>HÄRRYDA</t>
        </is>
      </c>
      <c r="I118" t="n">
        <v>1.4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61737-2025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46002</v>
      </c>
      <c r="E119" s="1" t="n">
        <v>46320</v>
      </c>
      <c r="F119" t="inlineStr">
        <is>
          <t>VÄSTRA GÖTALANDS LÄN</t>
        </is>
      </c>
      <c r="G119" t="inlineStr">
        <is>
          <t>HÄRRYDA</t>
        </is>
      </c>
      <c r="I119" t="n">
        <v>0.9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72891-2021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44547</v>
      </c>
      <c r="E120" s="1" t="n">
        <v>46320</v>
      </c>
      <c r="F120" t="inlineStr">
        <is>
          <t>VÄSTRA GÖTALANDS LÄN</t>
        </is>
      </c>
      <c r="G120" t="inlineStr">
        <is>
          <t>HÄRRYDA</t>
        </is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51157-2023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45219</v>
      </c>
      <c r="E121" s="1" t="n">
        <v>46320</v>
      </c>
      <c r="F121" t="inlineStr">
        <is>
          <t>VÄSTRA GÖTALANDS LÄN</t>
        </is>
      </c>
      <c r="G121" t="inlineStr">
        <is>
          <t>HÄRRYDA</t>
        </is>
      </c>
      <c r="I121" t="n">
        <v>2.2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40053-2023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45168</v>
      </c>
      <c r="E122" s="1" t="n">
        <v>46320</v>
      </c>
      <c r="F122" t="inlineStr">
        <is>
          <t>VÄSTRA GÖTALANDS LÄN</t>
        </is>
      </c>
      <c r="G122" t="inlineStr">
        <is>
          <t>HÄRRYDA</t>
        </is>
      </c>
      <c r="I122" t="n">
        <v>2.5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5630-2023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44960</v>
      </c>
      <c r="E123" s="1" t="n">
        <v>46320</v>
      </c>
      <c r="F123" t="inlineStr">
        <is>
          <t>VÄSTRA GÖTALANDS LÄN</t>
        </is>
      </c>
      <c r="G123" t="inlineStr">
        <is>
          <t>HÄRRYDA</t>
        </is>
      </c>
      <c r="I123" t="n">
        <v>1.8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25439-2022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44732</v>
      </c>
      <c r="E124" s="1" t="n">
        <v>46320</v>
      </c>
      <c r="F124" t="inlineStr">
        <is>
          <t>VÄSTRA GÖTALANDS LÄN</t>
        </is>
      </c>
      <c r="G124" t="inlineStr">
        <is>
          <t>HÄRRYDA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25726-2022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44733</v>
      </c>
      <c r="E125" s="1" t="n">
        <v>46320</v>
      </c>
      <c r="F125" t="inlineStr">
        <is>
          <t>VÄSTRA GÖTALANDS LÄN</t>
        </is>
      </c>
      <c r="G125" t="inlineStr">
        <is>
          <t>HÄRRYDA</t>
        </is>
      </c>
      <c r="I125" t="n">
        <v>2.8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16679-2025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45754</v>
      </c>
      <c r="E126" s="1" t="n">
        <v>46320</v>
      </c>
      <c r="F126" t="inlineStr">
        <is>
          <t>VÄSTRA GÖTALANDS LÄN</t>
        </is>
      </c>
      <c r="G126" t="inlineStr">
        <is>
          <t>HÄRRYDA</t>
        </is>
      </c>
      <c r="I126" t="n">
        <v>0.6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47334-2024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45587</v>
      </c>
      <c r="E127" s="1" t="n">
        <v>46320</v>
      </c>
      <c r="F127" t="inlineStr">
        <is>
          <t>VÄSTRA GÖTALANDS LÄN</t>
        </is>
      </c>
      <c r="G127" t="inlineStr">
        <is>
          <t>HÄRRYDA</t>
        </is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41318-2022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44826</v>
      </c>
      <c r="E128" s="1" t="n">
        <v>46320</v>
      </c>
      <c r="F128" t="inlineStr">
        <is>
          <t>VÄSTRA GÖTALANDS LÄN</t>
        </is>
      </c>
      <c r="G128" t="inlineStr">
        <is>
          <t>HÄRRYDA</t>
        </is>
      </c>
      <c r="I128" t="n">
        <v>11.5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20727-2023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45058</v>
      </c>
      <c r="E129" s="1" t="n">
        <v>46320</v>
      </c>
      <c r="F129" t="inlineStr">
        <is>
          <t>VÄSTRA GÖTALANDS LÄN</t>
        </is>
      </c>
      <c r="G129" t="inlineStr">
        <is>
          <t>HÄRRYDA</t>
        </is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34665-2023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45140</v>
      </c>
      <c r="E130" s="1" t="n">
        <v>46320</v>
      </c>
      <c r="F130" t="inlineStr">
        <is>
          <t>VÄSTRA GÖTALANDS LÄN</t>
        </is>
      </c>
      <c r="G130" t="inlineStr">
        <is>
          <t>HÄRRYDA</t>
        </is>
      </c>
      <c r="I130" t="n">
        <v>2.3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69563-2021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44532</v>
      </c>
      <c r="E131" s="1" t="n">
        <v>46320</v>
      </c>
      <c r="F131" t="inlineStr">
        <is>
          <t>VÄSTRA GÖTALANDS LÄN</t>
        </is>
      </c>
      <c r="G131" t="inlineStr">
        <is>
          <t>HÄRRYDA</t>
        </is>
      </c>
      <c r="I131" t="n">
        <v>2.9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2946-2024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45315</v>
      </c>
      <c r="E132" s="1" t="n">
        <v>46320</v>
      </c>
      <c r="F132" t="inlineStr">
        <is>
          <t>VÄSTRA GÖTALANDS LÄN</t>
        </is>
      </c>
      <c r="G132" t="inlineStr">
        <is>
          <t>HÄRRYDA</t>
        </is>
      </c>
      <c r="I132" t="n">
        <v>1.6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12090-2024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45377</v>
      </c>
      <c r="E133" s="1" t="n">
        <v>46320</v>
      </c>
      <c r="F133" t="inlineStr">
        <is>
          <t>VÄSTRA GÖTALANDS LÄN</t>
        </is>
      </c>
      <c r="G133" t="inlineStr">
        <is>
          <t>HÄRRYDA</t>
        </is>
      </c>
      <c r="I133" t="n">
        <v>0.5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52043-2024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45608</v>
      </c>
      <c r="E134" s="1" t="n">
        <v>46320</v>
      </c>
      <c r="F134" t="inlineStr">
        <is>
          <t>VÄSTRA GÖTALANDS LÄN</t>
        </is>
      </c>
      <c r="G134" t="inlineStr">
        <is>
          <t>HÄRRYDA</t>
        </is>
      </c>
      <c r="I134" t="n">
        <v>4.4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57269-2024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45629</v>
      </c>
      <c r="E135" s="1" t="n">
        <v>46320</v>
      </c>
      <c r="F135" t="inlineStr">
        <is>
          <t>VÄSTRA GÖTALANDS LÄN</t>
        </is>
      </c>
      <c r="G135" t="inlineStr">
        <is>
          <t>HÄRRYDA</t>
        </is>
      </c>
      <c r="I135" t="n">
        <v>2.7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29697-2023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45107</v>
      </c>
      <c r="E136" s="1" t="n">
        <v>46320</v>
      </c>
      <c r="F136" t="inlineStr">
        <is>
          <t>VÄSTRA GÖTALANDS LÄN</t>
        </is>
      </c>
      <c r="G136" t="inlineStr">
        <is>
          <t>HÄRRYDA</t>
        </is>
      </c>
      <c r="I136" t="n">
        <v>5.8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23492-2022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44721</v>
      </c>
      <c r="E137" s="1" t="n">
        <v>46320</v>
      </c>
      <c r="F137" t="inlineStr">
        <is>
          <t>VÄSTRA GÖTALANDS LÄN</t>
        </is>
      </c>
      <c r="G137" t="inlineStr">
        <is>
          <t>HÄRRYDA</t>
        </is>
      </c>
      <c r="I137" t="n">
        <v>4.4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39761-2023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45167</v>
      </c>
      <c r="E138" s="1" t="n">
        <v>46320</v>
      </c>
      <c r="F138" t="inlineStr">
        <is>
          <t>VÄSTRA GÖTALANDS LÄN</t>
        </is>
      </c>
      <c r="G138" t="inlineStr">
        <is>
          <t>HÄRRYDA</t>
        </is>
      </c>
      <c r="I138" t="n">
        <v>1.4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46798-2024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45583</v>
      </c>
      <c r="E139" s="1" t="n">
        <v>46320</v>
      </c>
      <c r="F139" t="inlineStr">
        <is>
          <t>VÄSTRA GÖTALANDS LÄN</t>
        </is>
      </c>
      <c r="G139" t="inlineStr">
        <is>
          <t>HÄRRYDA</t>
        </is>
      </c>
      <c r="I139" t="n">
        <v>6.3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65080-2023</t>
        </is>
      </c>
      <c r="B140" t="inlineStr">
        <is>
          <t>avverkningsanmälan</t>
        </is>
      </c>
      <c r="C140" t="inlineStr">
        <is>
          <t>Avverkning för annat ändamål</t>
        </is>
      </c>
      <c r="D140" s="1" t="n">
        <v>45287</v>
      </c>
      <c r="E140" s="1" t="n">
        <v>46320</v>
      </c>
      <c r="F140" t="inlineStr">
        <is>
          <t>VÄSTRA GÖTALANDS LÄN</t>
        </is>
      </c>
      <c r="G140" t="inlineStr">
        <is>
          <t>HÄRRYDA</t>
        </is>
      </c>
      <c r="I140" t="n">
        <v>0.7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3753-2024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45321</v>
      </c>
      <c r="E141" s="1" t="n">
        <v>46320</v>
      </c>
      <c r="F141" t="inlineStr">
        <is>
          <t>VÄSTRA GÖTALANDS LÄN</t>
        </is>
      </c>
      <c r="G141" t="inlineStr">
        <is>
          <t>HÄRRYDA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1807-2024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45307</v>
      </c>
      <c r="E142" s="1" t="n">
        <v>46320</v>
      </c>
      <c r="F142" t="inlineStr">
        <is>
          <t>VÄSTRA GÖTALANDS LÄN</t>
        </is>
      </c>
      <c r="G142" t="inlineStr">
        <is>
          <t>HÄRRYDA</t>
        </is>
      </c>
      <c r="I142" t="n">
        <v>3.7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59711-2022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44908</v>
      </c>
      <c r="E143" s="1" t="n">
        <v>46320</v>
      </c>
      <c r="F143" t="inlineStr">
        <is>
          <t>VÄSTRA GÖTALANDS LÄN</t>
        </is>
      </c>
      <c r="G143" t="inlineStr">
        <is>
          <t>HÄRRYDA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39762-2023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45167</v>
      </c>
      <c r="E144" s="1" t="n">
        <v>46320</v>
      </c>
      <c r="F144" t="inlineStr">
        <is>
          <t>VÄSTRA GÖTALANDS LÄN</t>
        </is>
      </c>
      <c r="G144" t="inlineStr">
        <is>
          <t>HÄRRYDA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>
      <c r="A145" t="inlineStr">
        <is>
          <t>A 61874-2024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45651</v>
      </c>
      <c r="E145" s="1" t="n">
        <v>46320</v>
      </c>
      <c r="F145" t="inlineStr">
        <is>
          <t>VÄSTRA GÖTALANDS LÄN</t>
        </is>
      </c>
      <c r="G145" t="inlineStr">
        <is>
          <t>HÄRRYDA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2026-10-25T02:04:43Z</dcterms:created>
  <dcterms:modified xmlns:dcterms="http://purl.org/dc/terms/" xmlns:xsi="http://www.w3.org/2001/XMLSchema-instance" xsi:type="dcterms:W3CDTF">2026-10-25T02:04:43Z</dcterms:modified>
</cp:coreProperties>
</file>