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46252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46252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46252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46252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46252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46252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46252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46252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46252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46252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27482-2025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45813</v>
      </c>
      <c r="E19" s="1" t="n">
        <v>46252</v>
      </c>
      <c r="F19" t="inlineStr">
        <is>
          <t>VÄSTRA GÖTALANDS LÄN</t>
        </is>
      </c>
      <c r="G19" t="inlineStr">
        <is>
          <t>HÄRRYDA</t>
        </is>
      </c>
      <c r="I19" t="n">
        <v>14.1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Kortskaftad ärgspik</t>
        </is>
      </c>
      <c r="W19">
        <f>HYPERLINK("https://klasma.github.io/Logging_1401/artfynd/A 27482-2025 artfynd.xlsx", "A 27482-2025")</f>
        <v/>
      </c>
      <c r="X19">
        <f>HYPERLINK("https://klasma.github.io/Logging_1401/kartor/A 27482-2025 karta.png", "A 27482-2025")</f>
        <v/>
      </c>
      <c r="Y19">
        <f>HYPERLINK("https://klasma.github.io/Logging_1401/kartor_geotiff/A 27482-2025 georefererad karta.tif", "A 27482-2025")</f>
        <v/>
      </c>
      <c r="AA19">
        <f>HYPERLINK("https://klasma.github.io/Logging_1401/klagomål/A 27482-2025 FSC-klagomål.docx", "A 27482-2025")</f>
        <v/>
      </c>
      <c r="AB19">
        <f>HYPERLINK("https://klasma.github.io/Logging_1401/klagomålsmail/A 27482-2025 FSC-klagomål mail.docx", "A 27482-2025")</f>
        <v/>
      </c>
      <c r="AC19">
        <f>HYPERLINK("https://klasma.github.io/Logging_1401/tillsyn/A 27482-2025 tillsynsbegäran.docx", "A 27482-2025")</f>
        <v/>
      </c>
      <c r="AD19">
        <f>HYPERLINK("https://klasma.github.io/Logging_1401/tillsynsmail/A 27482-2025 tillsynsbegäran mail.docx", "A 27482-2025")</f>
        <v/>
      </c>
    </row>
    <row r="20" ht="15" customHeight="1">
      <c r="A20" t="inlineStr">
        <is>
          <t>A 15683-2022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44663</v>
      </c>
      <c r="E20" s="1" t="n">
        <v>46252</v>
      </c>
      <c r="F20" t="inlineStr">
        <is>
          <t>VÄSTRA GÖTALANDS LÄN</t>
        </is>
      </c>
      <c r="G20" t="inlineStr">
        <is>
          <t>HÄRRYDA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HYPERLINK("https://klasma.github.io/Logging_1401/artfynd/A 15683-2022 artfynd.xlsx", "A 15683-2022")</f>
        <v/>
      </c>
      <c r="X20">
        <f>HYPERLINK("https://klasma.github.io/Logging_1401/kartor/A 15683-2022 karta.png", "A 15683-2022")</f>
        <v/>
      </c>
      <c r="Y20">
        <f>HYPERLINK("https://klasma.github.io/Logging_1401/kartor_geotiff/A 15683-2022 georefererad karta.tif", "A 15683-2022")</f>
        <v/>
      </c>
      <c r="AA20">
        <f>HYPERLINK("https://klasma.github.io/Logging_1401/klagomål/A 15683-2022 FSC-klagomål.docx", "A 15683-2022")</f>
        <v/>
      </c>
      <c r="AB20">
        <f>HYPERLINK("https://klasma.github.io/Logging_1401/klagomålsmail/A 15683-2022 FSC-klagomål mail.docx", "A 15683-2022")</f>
        <v/>
      </c>
      <c r="AC20">
        <f>HYPERLINK("https://klasma.github.io/Logging_1401/tillsyn/A 15683-2022 tillsynsbegäran.docx", "A 15683-2022")</f>
        <v/>
      </c>
      <c r="AD20">
        <f>HYPERLINK("https://klasma.github.io/Logging_1401/tillsynsmail/A 15683-2022 tillsynsbegäran mail.docx", "A 15683-2022")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46252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46252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46252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46252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46252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46252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46252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47362-2024 artfynd.xlsx", "A 47362-2024")</f>
        <v/>
      </c>
      <c r="X27">
        <f>HYPERLINK("https://klasma.github.io/Logging_1401/kartor/A 47362-2024 karta.png", "A 47362-2024")</f>
        <v/>
      </c>
      <c r="Y27">
        <f>HYPERLINK("https://klasma.github.io/Logging_1401/kartor_geotiff/A 47362-2024 georefererad karta.tif", "A 47362-2024")</f>
        <v/>
      </c>
      <c r="AA27">
        <f>HYPERLINK("https://klasma.github.io/Logging_1401/klagomål/A 47362-2024 FSC-klagomål.docx", "A 47362-2024")</f>
        <v/>
      </c>
      <c r="AB27">
        <f>HYPERLINK("https://klasma.github.io/Logging_1401/klagomålsmail/A 47362-2024 FSC-klagomål mail.docx", "A 47362-2024")</f>
        <v/>
      </c>
      <c r="AC27">
        <f>HYPERLINK("https://klasma.github.io/Logging_1401/tillsyn/A 47362-2024 tillsynsbegäran.docx", "A 47362-2024")</f>
        <v/>
      </c>
      <c r="AD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46252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46252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46252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46252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46252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46252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46252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46252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46252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46252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46252</v>
      </c>
      <c r="F42" t="inlineStr">
        <is>
          <t>VÄSTRA GÖTALANDS LÄN</t>
        </is>
      </c>
      <c r="G42" t="inlineStr">
        <is>
          <t>HÄRRYDA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27513-2025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45813</v>
      </c>
      <c r="E43" s="1" t="n">
        <v>46252</v>
      </c>
      <c r="F43" t="inlineStr">
        <is>
          <t>VÄSTRA GÖTALANDS LÄN</t>
        </is>
      </c>
      <c r="G43" t="inlineStr">
        <is>
          <t>HÄRRYDA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46252</v>
      </c>
      <c r="F44" t="inlineStr">
        <is>
          <t>VÄSTRA GÖTALANDS LÄN</t>
        </is>
      </c>
      <c r="G44" t="inlineStr">
        <is>
          <t>HÄRRYDA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45625</v>
      </c>
      <c r="E45" s="1" t="n">
        <v>46252</v>
      </c>
      <c r="F45" t="inlineStr">
        <is>
          <t>VÄSTRA GÖTALANDS LÄN</t>
        </is>
      </c>
      <c r="G45" t="inlineStr">
        <is>
          <t>HÄRRYDA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63595-2021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46252</v>
      </c>
      <c r="F46" t="inlineStr">
        <is>
          <t>VÄSTRA GÖTALANDS LÄN</t>
        </is>
      </c>
      <c r="G46" t="inlineStr">
        <is>
          <t>HÄRRYDA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52045-2022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46252</v>
      </c>
      <c r="F47" t="inlineStr">
        <is>
          <t>VÄSTRA GÖTALANDS LÄN</t>
        </is>
      </c>
      <c r="G47" t="inlineStr">
        <is>
          <t>HÄRRYDA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46252</v>
      </c>
      <c r="F48" t="inlineStr">
        <is>
          <t>VÄSTRA GÖTALANDS LÄN</t>
        </is>
      </c>
      <c r="G48" t="inlineStr">
        <is>
          <t>HÄRRYDA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46252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46252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47350-2024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45587</v>
      </c>
      <c r="E51" s="1" t="n">
        <v>46252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46252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45336</v>
      </c>
      <c r="E53" s="1" t="n">
        <v>46252</v>
      </c>
      <c r="F53" t="inlineStr">
        <is>
          <t>VÄSTRA GÖTALANDS LÄN</t>
        </is>
      </c>
      <c r="G53" t="inlineStr">
        <is>
          <t>HÄRRYDA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41318-2022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46252</v>
      </c>
      <c r="F54" t="inlineStr">
        <is>
          <t>VÄSTRA GÖTALANDS LÄN</t>
        </is>
      </c>
      <c r="G54" t="inlineStr">
        <is>
          <t>HÄRRYDA</t>
        </is>
      </c>
      <c r="I54" t="n">
        <v>11.5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46252</v>
      </c>
      <c r="F55" t="inlineStr">
        <is>
          <t>VÄSTRA GÖTALANDS LÄN</t>
        </is>
      </c>
      <c r="G55" t="inlineStr">
        <is>
          <t>HÄRRYDA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46252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46252</v>
      </c>
      <c r="F57" t="inlineStr">
        <is>
          <t>VÄSTRA GÖTALANDS LÄN</t>
        </is>
      </c>
      <c r="G57" t="inlineStr">
        <is>
          <t>HÄRRYDA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46252</v>
      </c>
      <c r="F58" t="inlineStr">
        <is>
          <t>VÄSTRA GÖTALANDS LÄN</t>
        </is>
      </c>
      <c r="G58" t="inlineStr">
        <is>
          <t>HÄRRYDA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46252</v>
      </c>
      <c r="F59" t="inlineStr">
        <is>
          <t>VÄSTRA GÖTALANDS LÄN</t>
        </is>
      </c>
      <c r="G59" t="inlineStr">
        <is>
          <t>HÄRRYDA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45651</v>
      </c>
      <c r="E60" s="1" t="n">
        <v>46252</v>
      </c>
      <c r="F60" t="inlineStr">
        <is>
          <t>VÄSTRA GÖTALANDS LÄN</t>
        </is>
      </c>
      <c r="G60" t="inlineStr">
        <is>
          <t>HÄRRYDA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46252</v>
      </c>
      <c r="F61" t="inlineStr">
        <is>
          <t>VÄSTRA GÖTALANDS LÄN</t>
        </is>
      </c>
      <c r="G61" t="inlineStr">
        <is>
          <t>HÄRRYDA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46252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46252</v>
      </c>
      <c r="F63" t="inlineStr">
        <is>
          <t>VÄSTRA GÖTALANDS LÄN</t>
        </is>
      </c>
      <c r="G63" t="inlineStr">
        <is>
          <t>HÄRRYDA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46252</v>
      </c>
      <c r="F64" t="inlineStr">
        <is>
          <t>VÄSTRA GÖTALANDS LÄN</t>
        </is>
      </c>
      <c r="G64" t="inlineStr">
        <is>
          <t>HÄRRYDA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45587</v>
      </c>
      <c r="E65" s="1" t="n">
        <v>46252</v>
      </c>
      <c r="F65" t="inlineStr">
        <is>
          <t>VÄSTRA GÖTALANDS LÄN</t>
        </is>
      </c>
      <c r="G65" t="inlineStr">
        <is>
          <t>HÄRRYDA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46252</v>
      </c>
      <c r="F66" t="inlineStr">
        <is>
          <t>VÄSTRA GÖTALANDS LÄN</t>
        </is>
      </c>
      <c r="G66" t="inlineStr">
        <is>
          <t>HÄRRYDA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45393</v>
      </c>
      <c r="E67" s="1" t="n">
        <v>46252</v>
      </c>
      <c r="F67" t="inlineStr">
        <is>
          <t>VÄSTRA GÖTALANDS LÄN</t>
        </is>
      </c>
      <c r="G67" t="inlineStr">
        <is>
          <t>HÄRRYDA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46252</v>
      </c>
      <c r="F68" t="inlineStr">
        <is>
          <t>VÄSTRA GÖTALANDS LÄN</t>
        </is>
      </c>
      <c r="G68" t="inlineStr">
        <is>
          <t>HÄRRYDA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46252</v>
      </c>
      <c r="F69" t="inlineStr">
        <is>
          <t>VÄSTRA GÖTALANDS LÄN</t>
        </is>
      </c>
      <c r="G69" t="inlineStr">
        <is>
          <t>HÄRRYDA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46252</v>
      </c>
      <c r="F70" t="inlineStr">
        <is>
          <t>VÄSTRA GÖTALANDS LÄN</t>
        </is>
      </c>
      <c r="G70" t="inlineStr">
        <is>
          <t>HÄRRYDA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46252</v>
      </c>
      <c r="F71" t="inlineStr">
        <is>
          <t>VÄSTRA GÖTALANDS LÄN</t>
        </is>
      </c>
      <c r="G71" t="inlineStr">
        <is>
          <t>HÄRRYDA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46252</v>
      </c>
      <c r="F72" t="inlineStr">
        <is>
          <t>VÄSTRA GÖTALANDS LÄN</t>
        </is>
      </c>
      <c r="G72" t="inlineStr">
        <is>
          <t>HÄRRYDA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46252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46252</v>
      </c>
      <c r="F74" t="inlineStr">
        <is>
          <t>VÄSTRA GÖTALANDS LÄN</t>
        </is>
      </c>
      <c r="G74" t="inlineStr">
        <is>
          <t>HÄRRYDA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46252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46252</v>
      </c>
      <c r="F76" t="inlineStr">
        <is>
          <t>VÄSTRA GÖTALANDS LÄN</t>
        </is>
      </c>
      <c r="G76" t="inlineStr">
        <is>
          <t>HÄRRYDA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46252</v>
      </c>
      <c r="F77" t="inlineStr">
        <is>
          <t>VÄSTRA GÖTALANDS LÄN</t>
        </is>
      </c>
      <c r="G77" t="inlineStr">
        <is>
          <t>HÄRRYDA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46252</v>
      </c>
      <c r="F78" t="inlineStr">
        <is>
          <t>VÄSTRA GÖTALANDS LÄN</t>
        </is>
      </c>
      <c r="G78" t="inlineStr">
        <is>
          <t>HÄRRYDA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46223</v>
      </c>
      <c r="E79" s="1" t="n">
        <v>46252</v>
      </c>
      <c r="F79" t="inlineStr">
        <is>
          <t>VÄSTRA GÖTALANDS LÄN</t>
        </is>
      </c>
      <c r="G79" t="inlineStr">
        <is>
          <t>HÄRRYDA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46252</v>
      </c>
      <c r="F80" t="inlineStr">
        <is>
          <t>VÄSTRA GÖTALANDS LÄN</t>
        </is>
      </c>
      <c r="G80" t="inlineStr">
        <is>
          <t>HÄRRYDA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45307</v>
      </c>
      <c r="E81" s="1" t="n">
        <v>46252</v>
      </c>
      <c r="F81" t="inlineStr">
        <is>
          <t>VÄSTRA GÖTALANDS LÄN</t>
        </is>
      </c>
      <c r="G81" t="inlineStr">
        <is>
          <t>HÄRRYDA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45994</v>
      </c>
      <c r="E82" s="1" t="n">
        <v>46252</v>
      </c>
      <c r="F82" t="inlineStr">
        <is>
          <t>VÄSTRA GÖTALANDS LÄN</t>
        </is>
      </c>
      <c r="G82" t="inlineStr">
        <is>
          <t>HÄRRYDA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46252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46252</v>
      </c>
      <c r="F84" t="inlineStr">
        <is>
          <t>VÄSTRA GÖTALANDS LÄN</t>
        </is>
      </c>
      <c r="G84" t="inlineStr">
        <is>
          <t>HÄRRYDA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46252</v>
      </c>
      <c r="F85" t="inlineStr">
        <is>
          <t>VÄSTRA GÖTALANDS LÄN</t>
        </is>
      </c>
      <c r="G85" t="inlineStr">
        <is>
          <t>HÄRRYDA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46252</v>
      </c>
      <c r="F86" t="inlineStr">
        <is>
          <t>VÄSTRA GÖTALANDS LÄN</t>
        </is>
      </c>
      <c r="G86" t="inlineStr">
        <is>
          <t>HÄRRYDA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46252</v>
      </c>
      <c r="F87" t="inlineStr">
        <is>
          <t>VÄSTRA GÖTALANDS LÄN</t>
        </is>
      </c>
      <c r="G87" t="inlineStr">
        <is>
          <t>HÄRRYDA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46252</v>
      </c>
      <c r="F88" t="inlineStr">
        <is>
          <t>VÄSTRA GÖTALANDS LÄN</t>
        </is>
      </c>
      <c r="G88" t="inlineStr">
        <is>
          <t>HÄRRYDA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45313</v>
      </c>
      <c r="E89" s="1" t="n">
        <v>46252</v>
      </c>
      <c r="F89" t="inlineStr">
        <is>
          <t>VÄSTRA GÖTALANDS LÄN</t>
        </is>
      </c>
      <c r="G89" t="inlineStr">
        <is>
          <t>HÄRRYDA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45002</v>
      </c>
      <c r="E90" s="1" t="n">
        <v>46252</v>
      </c>
      <c r="F90" t="inlineStr">
        <is>
          <t>VÄSTRA GÖTALANDS LÄN</t>
        </is>
      </c>
      <c r="G90" t="inlineStr">
        <is>
          <t>HÄRRYDA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69563-2021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46252</v>
      </c>
      <c r="F91" t="inlineStr">
        <is>
          <t>VÄSTRA GÖTALANDS LÄN</t>
        </is>
      </c>
      <c r="G91" t="inlineStr">
        <is>
          <t>HÄRRYDA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45704</v>
      </c>
      <c r="E92" s="1" t="n">
        <v>46252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46252</v>
      </c>
      <c r="F93" t="inlineStr">
        <is>
          <t>VÄSTRA GÖTALANDS LÄN</t>
        </is>
      </c>
      <c r="G93" t="inlineStr">
        <is>
          <t>HÄRRYDA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45715</v>
      </c>
      <c r="E94" s="1" t="n">
        <v>46252</v>
      </c>
      <c r="F94" t="inlineStr">
        <is>
          <t>VÄSTRA GÖTALANDS LÄN</t>
        </is>
      </c>
      <c r="G94" t="inlineStr">
        <is>
          <t>HÄRRYDA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60432-2022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44911</v>
      </c>
      <c r="E95" s="1" t="n">
        <v>46252</v>
      </c>
      <c r="F95" t="inlineStr">
        <is>
          <t>VÄSTRA GÖTALANDS LÄN</t>
        </is>
      </c>
      <c r="G95" t="inlineStr">
        <is>
          <t>HÄRRYDA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46252</v>
      </c>
      <c r="F96" t="inlineStr">
        <is>
          <t>VÄSTRA GÖTALANDS LÄN</t>
        </is>
      </c>
      <c r="G96" t="inlineStr">
        <is>
          <t>HÄRRYDA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45140</v>
      </c>
      <c r="E97" s="1" t="n">
        <v>46252</v>
      </c>
      <c r="F97" t="inlineStr">
        <is>
          <t>VÄSTRA GÖTALANDS LÄN</t>
        </is>
      </c>
      <c r="G97" t="inlineStr">
        <is>
          <t>HÄRRYDA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44784</v>
      </c>
      <c r="E98" s="1" t="n">
        <v>46252</v>
      </c>
      <c r="F98" t="inlineStr">
        <is>
          <t>VÄSTRA GÖTALANDS LÄN</t>
        </is>
      </c>
      <c r="G98" t="inlineStr">
        <is>
          <t>HÄRRYDA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46252</v>
      </c>
      <c r="F99" t="inlineStr">
        <is>
          <t>VÄSTRA GÖTALANDS LÄN</t>
        </is>
      </c>
      <c r="G99" t="inlineStr">
        <is>
          <t>HÄRRYDA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45287</v>
      </c>
      <c r="E100" s="1" t="n">
        <v>46252</v>
      </c>
      <c r="F100" t="inlineStr">
        <is>
          <t>VÄSTRA GÖTALANDS LÄN</t>
        </is>
      </c>
      <c r="G100" t="inlineStr">
        <is>
          <t>HÄRRYDA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44733</v>
      </c>
      <c r="E101" s="1" t="n">
        <v>46252</v>
      </c>
      <c r="F101" t="inlineStr">
        <is>
          <t>VÄSTRA GÖTALANDS LÄN</t>
        </is>
      </c>
      <c r="G101" t="inlineStr">
        <is>
          <t>HÄRRYDA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46252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31631-2026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46225</v>
      </c>
      <c r="E103" s="1" t="n">
        <v>46252</v>
      </c>
      <c r="F103" t="inlineStr">
        <is>
          <t>VÄSTRA GÖTALANDS LÄN</t>
        </is>
      </c>
      <c r="G103" t="inlineStr">
        <is>
          <t>HÄRRYDA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31825-2026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46252</v>
      </c>
      <c r="F104" t="inlineStr">
        <is>
          <t>VÄSTRA GÖTALANDS LÄN</t>
        </is>
      </c>
      <c r="G104" t="inlineStr">
        <is>
          <t>HÄRRYDA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46252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45058</v>
      </c>
      <c r="E106" s="1" t="n">
        <v>46252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55071-2023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45237</v>
      </c>
      <c r="E107" s="1" t="n">
        <v>46252</v>
      </c>
      <c r="F107" t="inlineStr">
        <is>
          <t>VÄSTRA GÖTALANDS LÄN</t>
        </is>
      </c>
      <c r="G107" t="inlineStr">
        <is>
          <t>HÄRRYDA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46098</v>
      </c>
      <c r="E108" s="1" t="n">
        <v>46252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45705</v>
      </c>
      <c r="E109" s="1" t="n">
        <v>46252</v>
      </c>
      <c r="F109" t="inlineStr">
        <is>
          <t>VÄSTRA GÖTALANDS LÄN</t>
        </is>
      </c>
      <c r="G109" t="inlineStr">
        <is>
          <t>HÄRRYDA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46252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15401-2026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46106</v>
      </c>
      <c r="E111" s="1" t="n">
        <v>46252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46107</v>
      </c>
      <c r="E112" s="1" t="n">
        <v>46252</v>
      </c>
      <c r="F112" t="inlineStr">
        <is>
          <t>VÄSTRA GÖTALANDS LÄN</t>
        </is>
      </c>
      <c r="G112" t="inlineStr">
        <is>
          <t>HÄRRYDA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46107</v>
      </c>
      <c r="E113" s="1" t="n">
        <v>46252</v>
      </c>
      <c r="F113" t="inlineStr">
        <is>
          <t>VÄSTRA GÖTALANDS LÄN</t>
        </is>
      </c>
      <c r="G113" t="inlineStr">
        <is>
          <t>HÄRRYDA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46252</v>
      </c>
      <c r="F114" t="inlineStr">
        <is>
          <t>VÄSTRA GÖTALANDS LÄN</t>
        </is>
      </c>
      <c r="G114" t="inlineStr">
        <is>
          <t>HÄRRYDA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46252</v>
      </c>
      <c r="F115" t="inlineStr">
        <is>
          <t>VÄSTRA GÖTALANDS LÄN</t>
        </is>
      </c>
      <c r="G115" t="inlineStr">
        <is>
          <t>HÄRRYDA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46252</v>
      </c>
      <c r="F116" t="inlineStr">
        <is>
          <t>VÄSTRA GÖTALANDS LÄN</t>
        </is>
      </c>
      <c r="G116" t="inlineStr">
        <is>
          <t>HÄRRYDA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46252</v>
      </c>
      <c r="F117" t="inlineStr">
        <is>
          <t>VÄSTRA GÖTALANDS LÄN</t>
        </is>
      </c>
      <c r="G117" t="inlineStr">
        <is>
          <t>HÄRRYDA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46252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46238</v>
      </c>
      <c r="E119" s="1" t="n">
        <v>46252</v>
      </c>
      <c r="F119" t="inlineStr">
        <is>
          <t>VÄSTRA GÖTALANDS LÄN</t>
        </is>
      </c>
      <c r="G119" t="inlineStr">
        <is>
          <t>HÄRRYDA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32377-2026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46238</v>
      </c>
      <c r="E120" s="1" t="n">
        <v>46252</v>
      </c>
      <c r="F120" t="inlineStr">
        <is>
          <t>VÄSTRA GÖTALANDS LÄN</t>
        </is>
      </c>
      <c r="G120" t="inlineStr">
        <is>
          <t>HÄRRYDA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46252</v>
      </c>
      <c r="F121" t="inlineStr">
        <is>
          <t>VÄSTRA GÖTALANDS LÄN</t>
        </is>
      </c>
      <c r="G121" t="inlineStr">
        <is>
          <t>HÄRRYDA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46252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46252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46252</v>
      </c>
      <c r="F124" t="inlineStr">
        <is>
          <t>VÄSTRA GÖTALANDS LÄN</t>
        </is>
      </c>
      <c r="G124" t="inlineStr">
        <is>
          <t>HÄRRYDA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46252</v>
      </c>
      <c r="F125" t="inlineStr">
        <is>
          <t>VÄSTRA GÖTALANDS LÄN</t>
        </is>
      </c>
      <c r="G125" t="inlineStr">
        <is>
          <t>HÄRRYDA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46252</v>
      </c>
      <c r="F126" t="inlineStr">
        <is>
          <t>VÄSTRA GÖTALANDS LÄN</t>
        </is>
      </c>
      <c r="G126" t="inlineStr">
        <is>
          <t>HÄRRYDA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46252</v>
      </c>
      <c r="F127" t="inlineStr">
        <is>
          <t>VÄSTRA GÖTALANDS LÄN</t>
        </is>
      </c>
      <c r="G127" t="inlineStr">
        <is>
          <t>HÄRRYDA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72891-2021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44547</v>
      </c>
      <c r="E128" s="1" t="n">
        <v>46252</v>
      </c>
      <c r="F128" t="inlineStr">
        <is>
          <t>VÄSTRA GÖTALANDS LÄN</t>
        </is>
      </c>
      <c r="G128" t="inlineStr">
        <is>
          <t>HÄRRYDA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31641-2026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46225</v>
      </c>
      <c r="E129" s="1" t="n">
        <v>46252</v>
      </c>
      <c r="F129" t="inlineStr">
        <is>
          <t>VÄSTRA GÖTALANDS LÄN</t>
        </is>
      </c>
      <c r="G129" t="inlineStr">
        <is>
          <t>HÄRRYDA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46252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46072</v>
      </c>
      <c r="E131" s="1" t="n">
        <v>46252</v>
      </c>
      <c r="F131" t="inlineStr">
        <is>
          <t>VÄSTRA GÖTALANDS LÄN</t>
        </is>
      </c>
      <c r="G131" t="inlineStr">
        <is>
          <t>HÄRRYDA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46252</v>
      </c>
      <c r="F132" t="inlineStr">
        <is>
          <t>VÄSTRA GÖTALANDS LÄN</t>
        </is>
      </c>
      <c r="G132" t="inlineStr">
        <is>
          <t>HÄRRYDA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46212</v>
      </c>
      <c r="E133" s="1" t="n">
        <v>46252</v>
      </c>
      <c r="F133" t="inlineStr">
        <is>
          <t>VÄSTRA GÖTALANDS LÄN</t>
        </is>
      </c>
      <c r="G133" t="inlineStr">
        <is>
          <t>HÄRRYDA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46212</v>
      </c>
      <c r="E134" s="1" t="n">
        <v>46252</v>
      </c>
      <c r="F134" t="inlineStr">
        <is>
          <t>VÄSTRA GÖTALANDS LÄN</t>
        </is>
      </c>
      <c r="G134" t="inlineStr">
        <is>
          <t>HÄRRYDA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46252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2026-08-18T01:45:36Z</dcterms:created>
  <dcterms:modified xmlns:dcterms="http://purl.org/dc/terms/" xmlns:xsi="http://www.w3.org/2001/XMLSchema-instance" xsi:type="dcterms:W3CDTF">2026-08-18T01:45:37Z</dcterms:modified>
</cp:coreProperties>
</file>