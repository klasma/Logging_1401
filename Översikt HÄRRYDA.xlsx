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45930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45930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45930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55708-2023</t>
        </is>
      </c>
      <c r="B12" s="1" t="n">
        <v>45239</v>
      </c>
      <c r="C12" s="1" t="n">
        <v>45930</v>
      </c>
      <c r="D12" t="inlineStr">
        <is>
          <t>VÄSTRA GÖTALANDS LÄN</t>
        </is>
      </c>
      <c r="E12" t="inlineStr">
        <is>
          <t>HÄRRYDA</t>
        </is>
      </c>
      <c r="G12" t="n">
        <v>5.4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Grönhjon
Talltita</t>
        </is>
      </c>
      <c r="S12">
        <f>HYPERLINK("https://klasma.github.io/Logging_1401/artfynd/A 55708-2023 artfynd.xlsx", "A 55708-2023")</f>
        <v/>
      </c>
      <c r="T12">
        <f>HYPERLINK("https://klasma.github.io/Logging_1401/kartor/A 55708-2023 karta.png", "A 55708-2023")</f>
        <v/>
      </c>
      <c r="V12">
        <f>HYPERLINK("https://klasma.github.io/Logging_1401/klagomål/A 55708-2023 FSC-klagomål.docx", "A 55708-2023")</f>
        <v/>
      </c>
      <c r="W12">
        <f>HYPERLINK("https://klasma.github.io/Logging_1401/klagomålsmail/A 55708-2023 FSC-klagomål mail.docx", "A 55708-2023")</f>
        <v/>
      </c>
      <c r="X12">
        <f>HYPERLINK("https://klasma.github.io/Logging_1401/tillsyn/A 55708-2023 tillsynsbegäran.docx", "A 55708-2023")</f>
        <v/>
      </c>
      <c r="Y12">
        <f>HYPERLINK("https://klasma.github.io/Logging_1401/tillsynsmail/A 55708-2023 tillsynsbegäran mail.docx", "A 55708-2023")</f>
        <v/>
      </c>
      <c r="Z12">
        <f>HYPERLINK("https://klasma.github.io/Logging_1401/fåglar/A 55708-2023 prioriterade fågelarter.docx", "A 55708-2023")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45930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45930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45930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45930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45930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45930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45930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45930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45930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s="1" t="n">
        <v>45740.62429398148</v>
      </c>
      <c r="C22" s="1" t="n">
        <v>45930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HYPERLINK("https://klasma.github.io/Logging_1401/artfynd/A 14259-2025 artfynd.xlsx", "A 14259-2025")</f>
        <v/>
      </c>
      <c r="T22">
        <f>HYPERLINK("https://klasma.github.io/Logging_1401/kartor/A 14259-2025 karta.png", "A 14259-2025")</f>
        <v/>
      </c>
      <c r="V22">
        <f>HYPERLINK("https://klasma.github.io/Logging_1401/klagomål/A 14259-2025 FSC-klagomål.docx", "A 14259-2025")</f>
        <v/>
      </c>
      <c r="W22">
        <f>HYPERLINK("https://klasma.github.io/Logging_1401/klagomålsmail/A 14259-2025 FSC-klagomål mail.docx", "A 14259-2025")</f>
        <v/>
      </c>
      <c r="X22">
        <f>HYPERLINK("https://klasma.github.io/Logging_1401/tillsyn/A 14259-2025 tillsynsbegäran.docx", "A 14259-2025")</f>
        <v/>
      </c>
      <c r="Y22">
        <f>HYPERLINK("https://klasma.github.io/Logging_1401/tillsynsmail/A 14259-2025 tillsynsbegäran mail.docx", "A 14259-2025")</f>
        <v/>
      </c>
    </row>
    <row r="23" ht="15" customHeight="1">
      <c r="A23" t="inlineStr">
        <is>
          <t>A 39670-2025</t>
        </is>
      </c>
      <c r="B23" s="1" t="n">
        <v>45890.64280092593</v>
      </c>
      <c r="C23" s="1" t="n">
        <v>45930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Flodpärlmussla</t>
        </is>
      </c>
      <c r="S23">
        <f>HYPERLINK("https://klasma.github.io/Logging_1401/artfynd/A 39670-2025 artfynd.xlsx", "A 39670-2025")</f>
        <v/>
      </c>
      <c r="T23">
        <f>HYPERLINK("https://klasma.github.io/Logging_1401/kartor/A 39670-2025 karta.png", "A 39670-2025")</f>
        <v/>
      </c>
      <c r="V23">
        <f>HYPERLINK("https://klasma.github.io/Logging_1401/klagomål/A 39670-2025 FSC-klagomål.docx", "A 39670-2025")</f>
        <v/>
      </c>
      <c r="W23">
        <f>HYPERLINK("https://klasma.github.io/Logging_1401/klagomålsmail/A 39670-2025 FSC-klagomål mail.docx", "A 39670-2025")</f>
        <v/>
      </c>
      <c r="X23">
        <f>HYPERLINK("https://klasma.github.io/Logging_1401/tillsyn/A 39670-2025 tillsynsbegäran.docx", "A 39670-2025")</f>
        <v/>
      </c>
      <c r="Y23">
        <f>HYPERLINK("https://klasma.github.io/Logging_1401/tillsynsmail/A 39670-2025 tillsynsbegäran mail.docx", "A 39670-2025")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45930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45930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45930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45930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25504-2022</t>
        </is>
      </c>
      <c r="B28" s="1" t="n">
        <v>44732</v>
      </c>
      <c r="C28" s="1" t="n">
        <v>45930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45930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45930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45930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45930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45930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45930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45930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45930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45930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45930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45930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45930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45930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45930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45930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45930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45930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45930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45930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45930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45930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45930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45930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27546-2021</t>
        </is>
      </c>
      <c r="B52" s="1" t="n">
        <v>44351</v>
      </c>
      <c r="C52" s="1" t="n">
        <v>45930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45930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45930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45930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45930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45930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45930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9494-2025</t>
        </is>
      </c>
      <c r="B59" s="1" t="n">
        <v>45715.503125</v>
      </c>
      <c r="C59" s="1" t="n">
        <v>45930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45930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45930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45930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32869-2022</t>
        </is>
      </c>
      <c r="B63" s="1" t="n">
        <v>44784.51399305555</v>
      </c>
      <c r="C63" s="1" t="n">
        <v>45930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14183-2024</t>
        </is>
      </c>
      <c r="B64" s="1" t="n">
        <v>45393.34479166667</v>
      </c>
      <c r="C64" s="1" t="n">
        <v>45930</v>
      </c>
      <c r="D64" t="inlineStr">
        <is>
          <t>VÄSTRA GÖTALANDS LÄN</t>
        </is>
      </c>
      <c r="E64" t="inlineStr">
        <is>
          <t>HÄRRYDA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45930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45930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3629-2021</t>
        </is>
      </c>
      <c r="B67" s="1" t="n">
        <v>44221</v>
      </c>
      <c r="C67" s="1" t="n">
        <v>45930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25967-2021</t>
        </is>
      </c>
      <c r="B68" s="1" t="n">
        <v>44344</v>
      </c>
      <c r="C68" s="1" t="n">
        <v>45930</v>
      </c>
      <c r="D68" t="inlineStr">
        <is>
          <t>VÄSTRA GÖTALANDS LÄN</t>
        </is>
      </c>
      <c r="E68" t="inlineStr">
        <is>
          <t>HÄRRYDA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37201-2023</t>
        </is>
      </c>
      <c r="B69" s="1" t="n">
        <v>45155</v>
      </c>
      <c r="C69" s="1" t="n">
        <v>45930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40299-2025</t>
        </is>
      </c>
      <c r="B70" s="1" t="n">
        <v>45895.39837962963</v>
      </c>
      <c r="C70" s="1" t="n">
        <v>45930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45930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40273-2025</t>
        </is>
      </c>
      <c r="B72" s="1" t="n">
        <v>45895.34994212963</v>
      </c>
      <c r="C72" s="1" t="n">
        <v>45930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40285-2025</t>
        </is>
      </c>
      <c r="B73" s="1" t="n">
        <v>45895.37532407408</v>
      </c>
      <c r="C73" s="1" t="n">
        <v>45930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40281-2025</t>
        </is>
      </c>
      <c r="B74" s="1" t="n">
        <v>45895.36684027778</v>
      </c>
      <c r="C74" s="1" t="n">
        <v>45930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40306-2025</t>
        </is>
      </c>
      <c r="B75" s="1" t="n">
        <v>45895.40923611111</v>
      </c>
      <c r="C75" s="1" t="n">
        <v>45930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35404-2025</t>
        </is>
      </c>
      <c r="B76" s="1" t="n">
        <v>45855.35253472222</v>
      </c>
      <c r="C76" s="1" t="n">
        <v>45930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45930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45930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41995-2025</t>
        </is>
      </c>
      <c r="B79" s="1" t="n">
        <v>45903.55027777778</v>
      </c>
      <c r="C79" s="1" t="n">
        <v>45930</v>
      </c>
      <c r="D79" t="inlineStr">
        <is>
          <t>VÄSTRA GÖTALANDS LÄN</t>
        </is>
      </c>
      <c r="E79" t="inlineStr">
        <is>
          <t>HÄRRYDA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42307-2025</t>
        </is>
      </c>
      <c r="B80" s="1" t="n">
        <v>45904.65253472222</v>
      </c>
      <c r="C80" s="1" t="n">
        <v>45930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45930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51157-2023</t>
        </is>
      </c>
      <c r="B82" s="1" t="n">
        <v>45219</v>
      </c>
      <c r="C82" s="1" t="n">
        <v>45930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40053-2023</t>
        </is>
      </c>
      <c r="B83" s="1" t="n">
        <v>45168.72297453704</v>
      </c>
      <c r="C83" s="1" t="n">
        <v>45930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5630-2023</t>
        </is>
      </c>
      <c r="B84" s="1" t="n">
        <v>44960</v>
      </c>
      <c r="C84" s="1" t="n">
        <v>45930</v>
      </c>
      <c r="D84" t="inlineStr">
        <is>
          <t>VÄSTRA GÖTALANDS LÄN</t>
        </is>
      </c>
      <c r="E84" t="inlineStr">
        <is>
          <t>HÄRRYDA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16509-2025</t>
        </is>
      </c>
      <c r="B85" s="1" t="n">
        <v>45751.61958333333</v>
      </c>
      <c r="C85" s="1" t="n">
        <v>45930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52045-2022</t>
        </is>
      </c>
      <c r="B86" s="1" t="n">
        <v>44873.31652777778</v>
      </c>
      <c r="C86" s="1" t="n">
        <v>45930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43832-2025</t>
        </is>
      </c>
      <c r="B87" s="1" t="n">
        <v>45912.63020833334</v>
      </c>
      <c r="C87" s="1" t="n">
        <v>45930</v>
      </c>
      <c r="D87" t="inlineStr">
        <is>
          <t>VÄSTRA GÖTALANDS LÄN</t>
        </is>
      </c>
      <c r="E87" t="inlineStr">
        <is>
          <t>HÄRRYDA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25499-2022</t>
        </is>
      </c>
      <c r="B88" s="1" t="n">
        <v>44732.57032407408</v>
      </c>
      <c r="C88" s="1" t="n">
        <v>45930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45930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45930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14468-2023</t>
        </is>
      </c>
      <c r="B91" s="1" t="n">
        <v>45012.65208333333</v>
      </c>
      <c r="C91" s="1" t="n">
        <v>45930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32866-2022</t>
        </is>
      </c>
      <c r="B92" s="1" t="n">
        <v>44784.50711805555</v>
      </c>
      <c r="C92" s="1" t="n">
        <v>45930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25726-2022</t>
        </is>
      </c>
      <c r="B93" s="1" t="n">
        <v>44733</v>
      </c>
      <c r="C93" s="1" t="n">
        <v>45930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41725-2024</t>
        </is>
      </c>
      <c r="B94" s="1" t="n">
        <v>45560.86376157407</v>
      </c>
      <c r="C94" s="1" t="n">
        <v>45930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45930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17860-2021</t>
        </is>
      </c>
      <c r="B96" s="1" t="n">
        <v>44301.28643518518</v>
      </c>
      <c r="C96" s="1" t="n">
        <v>45930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5985-2024</t>
        </is>
      </c>
      <c r="B97" s="1" t="n">
        <v>45336.56657407407</v>
      </c>
      <c r="C97" s="1" t="n">
        <v>45930</v>
      </c>
      <c r="D97" t="inlineStr">
        <is>
          <t>VÄSTRA GÖTALANDS LÄN</t>
        </is>
      </c>
      <c r="E97" t="inlineStr">
        <is>
          <t>HÄRRYDA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64291-2023</t>
        </is>
      </c>
      <c r="B98" s="1" t="n">
        <v>45280</v>
      </c>
      <c r="C98" s="1" t="n">
        <v>45930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14416-2024</t>
        </is>
      </c>
      <c r="B99" s="1" t="n">
        <v>45394</v>
      </c>
      <c r="C99" s="1" t="n">
        <v>45930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45930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46349-2025</t>
        </is>
      </c>
      <c r="B101" s="1" t="n">
        <v>45925.48078703704</v>
      </c>
      <c r="C101" s="1" t="n">
        <v>45930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45930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45930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4315-2024</t>
        </is>
      </c>
      <c r="B104" s="1" t="n">
        <v>45324</v>
      </c>
      <c r="C104" s="1" t="n">
        <v>45930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45930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45930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51012-2023</t>
        </is>
      </c>
      <c r="B107" s="1" t="n">
        <v>45218.57846064815</v>
      </c>
      <c r="C107" s="1" t="n">
        <v>45930</v>
      </c>
      <c r="D107" t="inlineStr">
        <is>
          <t>VÄSTRA GÖTALANDS LÄN</t>
        </is>
      </c>
      <c r="E107" t="inlineStr">
        <is>
          <t>HÄRRYDA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56832-2023</t>
        </is>
      </c>
      <c r="B108" s="1" t="n">
        <v>45244</v>
      </c>
      <c r="C108" s="1" t="n">
        <v>45930</v>
      </c>
      <c r="D108" t="inlineStr">
        <is>
          <t>VÄSTRA GÖTALANDS LÄN</t>
        </is>
      </c>
      <c r="E108" t="inlineStr">
        <is>
          <t>HÄRRYDA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60432-2022</t>
        </is>
      </c>
      <c r="B109" s="1" t="n">
        <v>44911</v>
      </c>
      <c r="C109" s="1" t="n">
        <v>45930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4433-2025</t>
        </is>
      </c>
      <c r="B110" s="1" t="n">
        <v>45686.49392361111</v>
      </c>
      <c r="C110" s="1" t="n">
        <v>45930</v>
      </c>
      <c r="D110" t="inlineStr">
        <is>
          <t>VÄSTRA GÖTALANDS LÄN</t>
        </is>
      </c>
      <c r="E110" t="inlineStr">
        <is>
          <t>HÄRRYDA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13108-2023</t>
        </is>
      </c>
      <c r="B111" s="1" t="n">
        <v>45002</v>
      </c>
      <c r="C111" s="1" t="n">
        <v>45930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29696-2023</t>
        </is>
      </c>
      <c r="B112" s="1" t="n">
        <v>45107</v>
      </c>
      <c r="C112" s="1" t="n">
        <v>45930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7356-2025</t>
        </is>
      </c>
      <c r="B113" s="1" t="n">
        <v>45704.50445601852</v>
      </c>
      <c r="C113" s="1" t="n">
        <v>45930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58481-2022</t>
        </is>
      </c>
      <c r="B114" s="1" t="n">
        <v>44902</v>
      </c>
      <c r="C114" s="1" t="n">
        <v>45930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34938-2022</t>
        </is>
      </c>
      <c r="B115" s="1" t="n">
        <v>44796</v>
      </c>
      <c r="C115" s="1" t="n">
        <v>45930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5987-2024</t>
        </is>
      </c>
      <c r="B116" s="1" t="n">
        <v>45336</v>
      </c>
      <c r="C116" s="1" t="n">
        <v>45930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45930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51154-2023</t>
        </is>
      </c>
      <c r="B118" s="1" t="n">
        <v>45219</v>
      </c>
      <c r="C118" s="1" t="n">
        <v>45930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20727-2023</t>
        </is>
      </c>
      <c r="B119" s="1" t="n">
        <v>45058.48152777777</v>
      </c>
      <c r="C119" s="1" t="n">
        <v>45930</v>
      </c>
      <c r="D119" t="inlineStr">
        <is>
          <t>VÄSTRA GÖTALANDS LÄN</t>
        </is>
      </c>
      <c r="E119" t="inlineStr">
        <is>
          <t>HÄRRYDA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17616-2025</t>
        </is>
      </c>
      <c r="B120" s="1" t="n">
        <v>45757.82684027778</v>
      </c>
      <c r="C120" s="1" t="n">
        <v>45930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52164-2023</t>
        </is>
      </c>
      <c r="B121" s="1" t="n">
        <v>45224</v>
      </c>
      <c r="C121" s="1" t="n">
        <v>45930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52166-2023</t>
        </is>
      </c>
      <c r="B122" s="1" t="n">
        <v>45224.3316550926</v>
      </c>
      <c r="C122" s="1" t="n">
        <v>45930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11249-2024</t>
        </is>
      </c>
      <c r="B123" s="1" t="n">
        <v>45371.63502314815</v>
      </c>
      <c r="C123" s="1" t="n">
        <v>45930</v>
      </c>
      <c r="D123" t="inlineStr">
        <is>
          <t>VÄSTRA GÖTALANDS LÄN</t>
        </is>
      </c>
      <c r="E123" t="inlineStr">
        <is>
          <t>HÄRRYDA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21302-2025</t>
        </is>
      </c>
      <c r="B124" s="1" t="n">
        <v>45780.88960648148</v>
      </c>
      <c r="C124" s="1" t="n">
        <v>45930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21872-2025</t>
        </is>
      </c>
      <c r="B125" s="1" t="n">
        <v>45784.38836805556</v>
      </c>
      <c r="C125" s="1" t="n">
        <v>45930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22271-2025</t>
        </is>
      </c>
      <c r="B126" s="1" t="n">
        <v>45785.89675925926</v>
      </c>
      <c r="C126" s="1" t="n">
        <v>45930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21800-2023</t>
        </is>
      </c>
      <c r="B127" s="1" t="n">
        <v>45067.85023148148</v>
      </c>
      <c r="C127" s="1" t="n">
        <v>45930</v>
      </c>
      <c r="D127" t="inlineStr">
        <is>
          <t>VÄSTRA GÖTALANDS LÄN</t>
        </is>
      </c>
      <c r="E127" t="inlineStr">
        <is>
          <t>HÄRRYDA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34665-2023</t>
        </is>
      </c>
      <c r="B128" s="1" t="n">
        <v>45140.81900462963</v>
      </c>
      <c r="C128" s="1" t="n">
        <v>45930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9512-2021</t>
        </is>
      </c>
      <c r="B129" s="1" t="n">
        <v>44251</v>
      </c>
      <c r="C129" s="1" t="n">
        <v>45930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69563-2021</t>
        </is>
      </c>
      <c r="B130" s="1" t="n">
        <v>44532</v>
      </c>
      <c r="C130" s="1" t="n">
        <v>45930</v>
      </c>
      <c r="D130" t="inlineStr">
        <is>
          <t>VÄSTRA GÖTALANDS LÄN</t>
        </is>
      </c>
      <c r="E130" t="inlineStr">
        <is>
          <t>HÄRRYDA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24542-2025</t>
        </is>
      </c>
      <c r="B131" s="1" t="n">
        <v>45798.44365740741</v>
      </c>
      <c r="C131" s="1" t="n">
        <v>45930</v>
      </c>
      <c r="D131" t="inlineStr">
        <is>
          <t>VÄSTRA GÖTALANDS LÄN</t>
        </is>
      </c>
      <c r="E131" t="inlineStr">
        <is>
          <t>HÄRRYDA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18001-2025</t>
        </is>
      </c>
      <c r="B132" s="1" t="n">
        <v>45761.41210648148</v>
      </c>
      <c r="C132" s="1" t="n">
        <v>45930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41457-2023</t>
        </is>
      </c>
      <c r="B133" s="1" t="n">
        <v>45175</v>
      </c>
      <c r="C133" s="1" t="n">
        <v>45930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26992-2025</t>
        </is>
      </c>
      <c r="B134" s="1" t="n">
        <v>45811.52253472222</v>
      </c>
      <c r="C134" s="1" t="n">
        <v>45930</v>
      </c>
      <c r="D134" t="inlineStr">
        <is>
          <t>VÄSTRA GÖTALANDS LÄN</t>
        </is>
      </c>
      <c r="E134" t="inlineStr">
        <is>
          <t>HÄRRYDA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63592-2021</t>
        </is>
      </c>
      <c r="B135" s="1" t="n">
        <v>44508</v>
      </c>
      <c r="C135" s="1" t="n">
        <v>45930</v>
      </c>
      <c r="D135" t="inlineStr">
        <is>
          <t>VÄSTRA GÖTALANDS LÄN</t>
        </is>
      </c>
      <c r="E135" t="inlineStr">
        <is>
          <t>HÄRRYDA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27513-2025</t>
        </is>
      </c>
      <c r="B136" s="1" t="n">
        <v>45813.42880787037</v>
      </c>
      <c r="C136" s="1" t="n">
        <v>45930</v>
      </c>
      <c r="D136" t="inlineStr">
        <is>
          <t>VÄSTRA GÖTALANDS LÄN</t>
        </is>
      </c>
      <c r="E136" t="inlineStr">
        <is>
          <t>HÄRRYDA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11697-2024</t>
        </is>
      </c>
      <c r="B137" s="1" t="n">
        <v>45373.60171296296</v>
      </c>
      <c r="C137" s="1" t="n">
        <v>45930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56558-2024</t>
        </is>
      </c>
      <c r="B138" s="1" t="n">
        <v>45625.57997685186</v>
      </c>
      <c r="C138" s="1" t="n">
        <v>45930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2946-2024</t>
        </is>
      </c>
      <c r="B139" s="1" t="n">
        <v>45315</v>
      </c>
      <c r="C139" s="1" t="n">
        <v>45930</v>
      </c>
      <c r="D139" t="inlineStr">
        <is>
          <t>VÄSTRA GÖTALANDS LÄN</t>
        </is>
      </c>
      <c r="E139" t="inlineStr">
        <is>
          <t>HÄRRYDA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15480-2025</t>
        </is>
      </c>
      <c r="B140" s="1" t="n">
        <v>45747.55828703703</v>
      </c>
      <c r="C140" s="1" t="n">
        <v>45930</v>
      </c>
      <c r="D140" t="inlineStr">
        <is>
          <t>VÄSTRA GÖTALANDS LÄN</t>
        </is>
      </c>
      <c r="E140" t="inlineStr">
        <is>
          <t>HÄRRYDA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13586-2025</t>
        </is>
      </c>
      <c r="B141" s="1" t="n">
        <v>45736.59434027778</v>
      </c>
      <c r="C141" s="1" t="n">
        <v>45930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9491-2025</t>
        </is>
      </c>
      <c r="B142" s="1" t="n">
        <v>45715.4965162037</v>
      </c>
      <c r="C142" s="1" t="n">
        <v>45930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12090-2024</t>
        </is>
      </c>
      <c r="B143" s="1" t="n">
        <v>45377.56537037037</v>
      </c>
      <c r="C143" s="1" t="n">
        <v>45930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52043-2024</t>
        </is>
      </c>
      <c r="B144" s="1" t="n">
        <v>45608.32934027778</v>
      </c>
      <c r="C144" s="1" t="n">
        <v>45930</v>
      </c>
      <c r="D144" t="inlineStr">
        <is>
          <t>VÄSTRA GÖTALANDS LÄN</t>
        </is>
      </c>
      <c r="E144" t="inlineStr">
        <is>
          <t>HÄRRYDA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57269-2024</t>
        </is>
      </c>
      <c r="B145" s="1" t="n">
        <v>45629.57262731482</v>
      </c>
      <c r="C145" s="1" t="n">
        <v>45930</v>
      </c>
      <c r="D145" t="inlineStr">
        <is>
          <t>VÄSTRA GÖTALANDS LÄN</t>
        </is>
      </c>
      <c r="E145" t="inlineStr">
        <is>
          <t>HÄRRYDA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45930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29697-2023</t>
        </is>
      </c>
      <c r="B147" s="1" t="n">
        <v>45107</v>
      </c>
      <c r="C147" s="1" t="n">
        <v>45930</v>
      </c>
      <c r="D147" t="inlineStr">
        <is>
          <t>VÄSTRA GÖTALANDS LÄN</t>
        </is>
      </c>
      <c r="E147" t="inlineStr">
        <is>
          <t>HÄRRYDA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44721.36030092592</v>
      </c>
      <c r="C148" s="1" t="n">
        <v>45930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39676-2025</t>
        </is>
      </c>
      <c r="B149" s="1" t="n">
        <v>45890.64989583333</v>
      </c>
      <c r="C149" s="1" t="n">
        <v>45930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39761-2023</t>
        </is>
      </c>
      <c r="B150" s="1" t="n">
        <v>45167.71447916667</v>
      </c>
      <c r="C150" s="1" t="n">
        <v>45930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19977-2022</t>
        </is>
      </c>
      <c r="B151" s="1" t="n">
        <v>44697</v>
      </c>
      <c r="C151" s="1" t="n">
        <v>45930</v>
      </c>
      <c r="D151" t="inlineStr">
        <is>
          <t>VÄSTRA GÖTALANDS LÄN</t>
        </is>
      </c>
      <c r="E151" t="inlineStr">
        <is>
          <t>HÄRRYDA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45930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9492-2025</t>
        </is>
      </c>
      <c r="B153" s="1" t="n">
        <v>45715.49974537037</v>
      </c>
      <c r="C153" s="1" t="n">
        <v>45930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13454-2024</t>
        </is>
      </c>
      <c r="B154" s="1" t="n">
        <v>45387.51503472222</v>
      </c>
      <c r="C154" s="1" t="n">
        <v>45930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18003-2025</t>
        </is>
      </c>
      <c r="B155" s="1" t="n">
        <v>45761.41628472223</v>
      </c>
      <c r="C155" s="1" t="n">
        <v>45930</v>
      </c>
      <c r="D155" t="inlineStr">
        <is>
          <t>VÄSTRA GÖTALANDS LÄN</t>
        </is>
      </c>
      <c r="E155" t="inlineStr">
        <is>
          <t>HÄRRYDA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65080-2023</t>
        </is>
      </c>
      <c r="B156" s="1" t="n">
        <v>45287</v>
      </c>
      <c r="C156" s="1" t="n">
        <v>45930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3753-2024</t>
        </is>
      </c>
      <c r="B157" s="1" t="n">
        <v>45321.54748842592</v>
      </c>
      <c r="C157" s="1" t="n">
        <v>45930</v>
      </c>
      <c r="D157" t="inlineStr">
        <is>
          <t>VÄSTRA GÖTALANDS LÄN</t>
        </is>
      </c>
      <c r="E157" t="inlineStr">
        <is>
          <t>HÄRRYDA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1807-2024</t>
        </is>
      </c>
      <c r="B158" s="1" t="n">
        <v>45307.59741898148</v>
      </c>
      <c r="C158" s="1" t="n">
        <v>45930</v>
      </c>
      <c r="D158" t="inlineStr">
        <is>
          <t>VÄSTRA GÖTALANDS LÄN</t>
        </is>
      </c>
      <c r="E158" t="inlineStr">
        <is>
          <t>HÄRRYDA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16435-2025</t>
        </is>
      </c>
      <c r="B159" s="1" t="n">
        <v>45751.48401620371</v>
      </c>
      <c r="C159" s="1" t="n">
        <v>45930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59711-2022</t>
        </is>
      </c>
      <c r="B160" s="1" t="n">
        <v>44908.40974537037</v>
      </c>
      <c r="C160" s="1" t="n">
        <v>45930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45930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39762-2023</t>
        </is>
      </c>
      <c r="B162" s="1" t="n">
        <v>45167.71539351852</v>
      </c>
      <c r="C162" s="1" t="n">
        <v>45930</v>
      </c>
      <c r="D162" t="inlineStr">
        <is>
          <t>VÄSTRA GÖTALANDS LÄN</t>
        </is>
      </c>
      <c r="E162" t="inlineStr">
        <is>
          <t>HÄRRYDA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2025-09-30T12:17:38Z</dcterms:created>
  <dcterms:modified xmlns:dcterms="http://purl.org/dc/terms/" xmlns:xsi="http://www.w3.org/2001/XMLSchema-instance" xsi:type="dcterms:W3CDTF">2025-09-30T12:17:38Z</dcterms:modified>
</cp:coreProperties>
</file>