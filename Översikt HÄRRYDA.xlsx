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46226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46226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46226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46226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46226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46226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46226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46226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46226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46226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A 26989-2025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45811</v>
      </c>
      <c r="E12" s="1" t="n">
        <v>46226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HYPERLINK("https://klasma.github.io/Logging_1401/artfynd/A 26989-2025 artfynd.xlsx", "A 26989-2025")</f>
        <v/>
      </c>
      <c r="X12">
        <f>HYPERLINK("https://klasma.github.io/Logging_1401/kartor/A 26989-2025 karta.png", "A 26989-2025")</f>
        <v/>
      </c>
      <c r="Y12">
        <f>HYPERLINK("https://klasma.github.io/Logging_1401/kartor_geotiff/A 26989-2025 georefererad karta.tif", "A 26989-2025")</f>
        <v/>
      </c>
      <c r="AA12">
        <f>HYPERLINK("https://klasma.github.io/Logging_1401/klagomål/A 26989-2025 FSC-klagomål.docx", "A 26989-2025")</f>
        <v/>
      </c>
      <c r="AB12">
        <f>HYPERLINK("https://klasma.github.io/Logging_1401/klagomålsmail/A 26989-2025 FSC-klagomål mail.docx", "A 26989-2025")</f>
        <v/>
      </c>
      <c r="AC12">
        <f>HYPERLINK("https://klasma.github.io/Logging_1401/tillsyn/A 26989-2025 tillsynsbegäran.docx", "A 26989-2025")</f>
        <v/>
      </c>
      <c r="AD12">
        <f>HYPERLINK("https://klasma.github.io/Logging_1401/tillsynsmail/A 26989-2025 tillsynsbegäran mail.docx", "A 26989-2025")</f>
        <v/>
      </c>
      <c r="AE12">
        <f>HYPERLINK("https://klasma.github.io/Logging_1401/fåglar/A 26989-2025 prioriterade fågelarter.docx", "A 26989-2025")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46226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46226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46226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46226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Igelkott
Revlummer</t>
        </is>
      </c>
      <c r="W16">
        <f>HYPERLINK("https://klasma.github.io/Logging_1401/artfynd/A 34938-2022 artfynd.xlsx", "A 34938-2022")</f>
        <v/>
      </c>
      <c r="X16">
        <f>HYPERLINK("https://klasma.github.io/Logging_1401/kartor/A 34938-2022 karta.png", "A 34938-2022")</f>
        <v/>
      </c>
      <c r="Y16">
        <f>HYPERLINK("https://klasma.github.io/Logging_1401/kartor_geotiff/A 34938-2022 georefererad karta.tif", "A 34938-2022")</f>
        <v/>
      </c>
      <c r="AA16">
        <f>HYPERLINK("https://klasma.github.io/Logging_1401/klagomål/A 34938-2022 FSC-klagomål.docx", "A 34938-2022")</f>
        <v/>
      </c>
      <c r="AB16">
        <f>HYPERLINK("https://klasma.github.io/Logging_1401/klagomålsmail/A 34938-2022 FSC-klagomål mail.docx", "A 34938-2022")</f>
        <v/>
      </c>
      <c r="AC16">
        <f>HYPERLINK("https://klasma.github.io/Logging_1401/tillsyn/A 34938-2022 tillsynsbegäran.docx", "A 34938-2022")</f>
        <v/>
      </c>
      <c r="AD16">
        <f>HYPERLINK("https://klasma.github.io/Logging_1401/tillsynsmail/A 34938-2022 tillsynsbegäran mail.docx", "A 34938-2022")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46226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46226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46226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46226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58481-2022 artfynd.xlsx", "A 58481-2022")</f>
        <v/>
      </c>
      <c r="X20">
        <f>HYPERLINK("https://klasma.github.io/Logging_1401/kartor/A 58481-2022 karta.png", "A 58481-2022")</f>
        <v/>
      </c>
      <c r="Y20">
        <f>HYPERLINK("https://klasma.github.io/Logging_1401/kartor_geotiff/A 58481-2022 georefererad karta.tif", "A 58481-2022")</f>
        <v/>
      </c>
      <c r="AA20">
        <f>HYPERLINK("https://klasma.github.io/Logging_1401/klagomål/A 58481-2022 FSC-klagomål.docx", "A 58481-2022")</f>
        <v/>
      </c>
      <c r="AB20">
        <f>HYPERLINK("https://klasma.github.io/Logging_1401/klagomålsmail/A 58481-2022 FSC-klagomål mail.docx", "A 58481-2022")</f>
        <v/>
      </c>
      <c r="AC20">
        <f>HYPERLINK("https://klasma.github.io/Logging_1401/tillsyn/A 58481-2022 tillsynsbegäran.docx", "A 58481-2022")</f>
        <v/>
      </c>
      <c r="AD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46226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46226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19977-2022 artfynd.xlsx", "A 19977-2022")</f>
        <v/>
      </c>
      <c r="X22">
        <f>HYPERLINK("https://klasma.github.io/Logging_1401/kartor/A 19977-2022 karta.png", "A 19977-2022")</f>
        <v/>
      </c>
      <c r="Y22">
        <f>HYPERLINK("https://klasma.github.io/Logging_1401/kartor_geotiff/A 19977-2022 georefererad karta.tif", "A 19977-2022")</f>
        <v/>
      </c>
      <c r="AA22">
        <f>HYPERLINK("https://klasma.github.io/Logging_1401/klagomål/A 19977-2022 FSC-klagomål.docx", "A 19977-2022")</f>
        <v/>
      </c>
      <c r="AB22">
        <f>HYPERLINK("https://klasma.github.io/Logging_1401/klagomålsmail/A 19977-2022 FSC-klagomål mail.docx", "A 19977-2022")</f>
        <v/>
      </c>
      <c r="AC22">
        <f>HYPERLINK("https://klasma.github.io/Logging_1401/tillsyn/A 19977-2022 tillsynsbegäran.docx", "A 19977-2022")</f>
        <v/>
      </c>
      <c r="AD22">
        <f>HYPERLINK("https://klasma.github.io/Logging_1401/tillsynsmail/A 19977-2022 tillsynsbegäran mail.docx", "A 19977-2022")</f>
        <v/>
      </c>
    </row>
    <row r="23" ht="15" customHeight="1">
      <c r="A23" t="inlineStr">
        <is>
          <t>A 27482-2025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45813</v>
      </c>
      <c r="E23" s="1" t="n">
        <v>46226</v>
      </c>
      <c r="F23" t="inlineStr">
        <is>
          <t>VÄSTRA GÖTALANDS LÄN</t>
        </is>
      </c>
      <c r="G23" t="inlineStr">
        <is>
          <t>HÄRRYDA</t>
        </is>
      </c>
      <c r="I23" t="n">
        <v>14.1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Kortskaftad ärgspik</t>
        </is>
      </c>
      <c r="W23">
        <f>HYPERLINK("https://klasma.github.io/Logging_1401/artfynd/A 27482-2025 artfynd.xlsx", "A 27482-2025")</f>
        <v/>
      </c>
      <c r="X23">
        <f>HYPERLINK("https://klasma.github.io/Logging_1401/kartor/A 27482-2025 karta.png", "A 27482-2025")</f>
        <v/>
      </c>
      <c r="Y23">
        <f>HYPERLINK("https://klasma.github.io/Logging_1401/kartor_geotiff/A 27482-2025 georefererad karta.tif", "A 27482-2025")</f>
        <v/>
      </c>
      <c r="AA23">
        <f>HYPERLINK("https://klasma.github.io/Logging_1401/klagomål/A 27482-2025 FSC-klagomål.docx", "A 27482-2025")</f>
        <v/>
      </c>
      <c r="AB23">
        <f>HYPERLINK("https://klasma.github.io/Logging_1401/klagomålsmail/A 27482-2025 FSC-klagomål mail.docx", "A 27482-2025")</f>
        <v/>
      </c>
      <c r="AC23">
        <f>HYPERLINK("https://klasma.github.io/Logging_1401/tillsyn/A 27482-2025 tillsynsbegäran.docx", "A 27482-2025")</f>
        <v/>
      </c>
      <c r="AD23">
        <f>HYPERLINK("https://klasma.github.io/Logging_1401/tillsynsmail/A 27482-2025 tillsynsbegäran mail.docx", "A 27482-2025")</f>
        <v/>
      </c>
    </row>
    <row r="24" ht="15" customHeight="1">
      <c r="A24" t="inlineStr">
        <is>
          <t>A 14259-2025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45740</v>
      </c>
      <c r="E24" s="1" t="n">
        <v>46226</v>
      </c>
      <c r="F24" t="inlineStr">
        <is>
          <t>VÄSTRA GÖTALANDS LÄN</t>
        </is>
      </c>
      <c r="G24" t="inlineStr">
        <is>
          <t>HÄRRYDA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HYPERLINK("https://klasma.github.io/Logging_1401/artfynd/A 14259-2025 artfynd.xlsx", "A 14259-2025")</f>
        <v/>
      </c>
      <c r="X24">
        <f>HYPERLINK("https://klasma.github.io/Logging_1401/kartor/A 14259-2025 karta.png", "A 14259-2025")</f>
        <v/>
      </c>
      <c r="Y24">
        <f>HYPERLINK("https://klasma.github.io/Logging_1401/kartor_geotiff/A 14259-2025 georefererad karta.tif", "A 14259-2025")</f>
        <v/>
      </c>
      <c r="AA24">
        <f>HYPERLINK("https://klasma.github.io/Logging_1401/klagomål/A 14259-2025 FSC-klagomål.docx", "A 14259-2025")</f>
        <v/>
      </c>
      <c r="AB24">
        <f>HYPERLINK("https://klasma.github.io/Logging_1401/klagomålsmail/A 14259-2025 FSC-klagomål mail.docx", "A 14259-2025")</f>
        <v/>
      </c>
      <c r="AC24">
        <f>HYPERLINK("https://klasma.github.io/Logging_1401/tillsyn/A 14259-2025 tillsynsbegäran.docx", "A 14259-2025")</f>
        <v/>
      </c>
      <c r="AD24">
        <f>HYPERLINK("https://klasma.github.io/Logging_1401/tillsynsmail/A 14259-2025 tillsynsbegäran mail.docx", "A 14259-2025")</f>
        <v/>
      </c>
    </row>
    <row r="25" ht="15" customHeight="1">
      <c r="A25" t="inlineStr">
        <is>
          <t>A 55686-2023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45239</v>
      </c>
      <c r="E25" s="1" t="n">
        <v>46226</v>
      </c>
      <c r="F25" t="inlineStr">
        <is>
          <t>VÄSTRA GÖTALANDS LÄN</t>
        </is>
      </c>
      <c r="G25" t="inlineStr">
        <is>
          <t>HÄRRYDA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3</v>
      </c>
      <c r="V25" s="2" t="inlineStr">
        <is>
          <t>Tjäder</t>
        </is>
      </c>
      <c r="W25">
        <f>HYPERLINK("https://klasma.github.io/Logging_1401/artfynd/A 55686-2023 artfynd.xlsx", "A 55686-2023")</f>
        <v/>
      </c>
      <c r="X25">
        <f>HYPERLINK("https://klasma.github.io/Logging_1401/kartor/A 55686-2023 karta.png", "A 55686-2023")</f>
        <v/>
      </c>
      <c r="Y25">
        <f>HYPERLINK("https://klasma.github.io/Logging_1401/kartor_geotiff/A 55686-2023 georefererad karta.tif", "A 55686-2023")</f>
        <v/>
      </c>
      <c r="AA25">
        <f>HYPERLINK("https://klasma.github.io/Logging_1401/klagomål/A 55686-2023 FSC-klagomål.docx", "A 55686-2023")</f>
        <v/>
      </c>
      <c r="AB25">
        <f>HYPERLINK("https://klasma.github.io/Logging_1401/klagomålsmail/A 55686-2023 FSC-klagomål mail.docx", "A 55686-2023")</f>
        <v/>
      </c>
      <c r="AC25">
        <f>HYPERLINK("https://klasma.github.io/Logging_1401/tillsyn/A 55686-2023 tillsynsbegäran.docx", "A 55686-2023")</f>
        <v/>
      </c>
      <c r="AD25">
        <f>HYPERLINK("https://klasma.github.io/Logging_1401/tillsynsmail/A 55686-2023 tillsynsbegäran mail.docx", "A 55686-2023")</f>
        <v/>
      </c>
      <c r="AE25">
        <f>HYPERLINK("https://klasma.github.io/Logging_1401/fåglar/A 55686-2023 prioriterade fågelarter.docx", "A 55686-2023")</f>
        <v/>
      </c>
    </row>
    <row r="26" ht="15" customHeight="1">
      <c r="A26" t="inlineStr">
        <is>
          <t>A 23492-2026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46226</v>
      </c>
      <c r="F26" t="inlineStr">
        <is>
          <t>VÄSTRA GÖTALANDS LÄN</t>
        </is>
      </c>
      <c r="G26" t="inlineStr">
        <is>
          <t>HÄRRYDA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23492-2026 artfynd.xlsx", "A 23492-2026")</f>
        <v/>
      </c>
      <c r="X26">
        <f>HYPERLINK("https://klasma.github.io/Logging_1401/kartor/A 23492-2026 karta.png", "A 23492-2026")</f>
        <v/>
      </c>
      <c r="Y26">
        <f>HYPERLINK("https://klasma.github.io/Logging_1401/kartor_geotiff/A 23492-2026 georefererad karta.tif", "A 23492-2026")</f>
        <v/>
      </c>
      <c r="AA26">
        <f>HYPERLINK("https://klasma.github.io/Logging_1401/klagomål/A 23492-2026 FSC-klagomål.docx", "A 23492-2026")</f>
        <v/>
      </c>
      <c r="AB26">
        <f>HYPERLINK("https://klasma.github.io/Logging_1401/klagomålsmail/A 23492-2026 FSC-klagomål mail.docx", "A 23492-2026")</f>
        <v/>
      </c>
      <c r="AC26">
        <f>HYPERLINK("https://klasma.github.io/Logging_1401/tillsyn/A 23492-2026 tillsynsbegäran.docx", "A 23492-2026")</f>
        <v/>
      </c>
      <c r="AD26">
        <f>HYPERLINK("https://klasma.github.io/Logging_1401/tillsynsmail/A 23492-2026 tillsynsbegäran mail.docx", "A 23492-2026")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46226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47362-2024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45587</v>
      </c>
      <c r="E28" s="1" t="n">
        <v>46226</v>
      </c>
      <c r="F28" t="inlineStr">
        <is>
          <t>VÄSTRA GÖTALANDS LÄN</t>
        </is>
      </c>
      <c r="G28" t="inlineStr">
        <is>
          <t>HÄRRYDA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47362-2024 artfynd.xlsx", "A 47362-2024")</f>
        <v/>
      </c>
      <c r="X28">
        <f>HYPERLINK("https://klasma.github.io/Logging_1401/kartor/A 47362-2024 karta.png", "A 47362-2024")</f>
        <v/>
      </c>
      <c r="Y28">
        <f>HYPERLINK("https://klasma.github.io/Logging_1401/kartor_geotiff/A 47362-2024 georefererad karta.tif", "A 47362-2024")</f>
        <v/>
      </c>
      <c r="AA28">
        <f>HYPERLINK("https://klasma.github.io/Logging_1401/klagomål/A 47362-2024 FSC-klagomål.docx", "A 47362-2024")</f>
        <v/>
      </c>
      <c r="AB28">
        <f>HYPERLINK("https://klasma.github.io/Logging_1401/klagomålsmail/A 47362-2024 FSC-klagomål mail.docx", "A 47362-2024")</f>
        <v/>
      </c>
      <c r="AC28">
        <f>HYPERLINK("https://klasma.github.io/Logging_1401/tillsyn/A 47362-2024 tillsynsbegäran.docx", "A 47362-2024")</f>
        <v/>
      </c>
      <c r="AD28">
        <f>HYPERLINK("https://klasma.github.io/Logging_1401/tillsynsmail/A 47362-2024 tillsynsbegäran mail.docx", "A 47362-2024")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46226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46226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46226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46226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46226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46226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46226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46226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46226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46226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46226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46226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46226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46226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46226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46226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45651</v>
      </c>
      <c r="E45" s="1" t="n">
        <v>46226</v>
      </c>
      <c r="F45" t="inlineStr">
        <is>
          <t>VÄSTRA GÖTALANDS LÄN</t>
        </is>
      </c>
      <c r="G45" t="inlineStr">
        <is>
          <t>HÄRRYDA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46226</v>
      </c>
      <c r="F46" t="inlineStr">
        <is>
          <t>VÄSTRA GÖTALANDS LÄN</t>
        </is>
      </c>
      <c r="G46" t="inlineStr">
        <is>
          <t>HÄRRYDA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46226</v>
      </c>
      <c r="F47" t="inlineStr">
        <is>
          <t>VÄSTRA GÖTALANDS LÄN</t>
        </is>
      </c>
      <c r="G47" t="inlineStr">
        <is>
          <t>HÄRRYDA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51157-2023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46226</v>
      </c>
      <c r="F48" t="inlineStr">
        <is>
          <t>VÄSTRA GÖTALANDS LÄN</t>
        </is>
      </c>
      <c r="G48" t="inlineStr">
        <is>
          <t>HÄRRYDA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27513-2025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45813</v>
      </c>
      <c r="E49" s="1" t="n">
        <v>46226</v>
      </c>
      <c r="F49" t="inlineStr">
        <is>
          <t>VÄSTRA GÖTALANDS LÄN</t>
        </is>
      </c>
      <c r="G49" t="inlineStr">
        <is>
          <t>HÄRRYDA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11697-2024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46226</v>
      </c>
      <c r="F50" t="inlineStr">
        <is>
          <t>VÄSTRA GÖTALANDS LÄN</t>
        </is>
      </c>
      <c r="G50" t="inlineStr">
        <is>
          <t>HÄRRYDA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40053-2023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46226</v>
      </c>
      <c r="F51" t="inlineStr">
        <is>
          <t>VÄSTRA GÖTALANDS LÄN</t>
        </is>
      </c>
      <c r="G51" t="inlineStr">
        <is>
          <t>HÄRRYDA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56558-2024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45625</v>
      </c>
      <c r="E52" s="1" t="n">
        <v>46226</v>
      </c>
      <c r="F52" t="inlineStr">
        <is>
          <t>VÄSTRA GÖTALANDS LÄN</t>
        </is>
      </c>
      <c r="G52" t="inlineStr">
        <is>
          <t>HÄRRYDA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40306-2025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45895</v>
      </c>
      <c r="E53" s="1" t="n">
        <v>46226</v>
      </c>
      <c r="F53" t="inlineStr">
        <is>
          <t>VÄSTRA GÖTALANDS LÄN</t>
        </is>
      </c>
      <c r="G53" t="inlineStr">
        <is>
          <t>HÄRRYDA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40273-2025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45895</v>
      </c>
      <c r="E54" s="1" t="n">
        <v>46226</v>
      </c>
      <c r="F54" t="inlineStr">
        <is>
          <t>VÄSTRA GÖTALANDS LÄN</t>
        </is>
      </c>
      <c r="G54" t="inlineStr">
        <is>
          <t>HÄRRYDA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14468-2023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45012</v>
      </c>
      <c r="E55" s="1" t="n">
        <v>46226</v>
      </c>
      <c r="F55" t="inlineStr">
        <is>
          <t>VÄSTRA GÖTALANDS LÄN</t>
        </is>
      </c>
      <c r="G55" t="inlineStr">
        <is>
          <t>HÄRRYDA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13951-2026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46098</v>
      </c>
      <c r="E56" s="1" t="n">
        <v>46226</v>
      </c>
      <c r="F56" t="inlineStr">
        <is>
          <t>VÄSTRA GÖTALANDS LÄN</t>
        </is>
      </c>
      <c r="G56" t="inlineStr">
        <is>
          <t>HÄRRYDA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7575-2025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45705</v>
      </c>
      <c r="E57" s="1" t="n">
        <v>46226</v>
      </c>
      <c r="F57" t="inlineStr">
        <is>
          <t>VÄSTRA GÖTALANDS LÄN</t>
        </is>
      </c>
      <c r="G57" t="inlineStr">
        <is>
          <t>HÄRRYDA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29697-2023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45107</v>
      </c>
      <c r="E58" s="1" t="n">
        <v>46226</v>
      </c>
      <c r="F58" t="inlineStr">
        <is>
          <t>VÄSTRA GÖTALANDS LÄN</t>
        </is>
      </c>
      <c r="G58" t="inlineStr">
        <is>
          <t>HÄRRYDA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1551-2022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46226</v>
      </c>
      <c r="F59" t="inlineStr">
        <is>
          <t>VÄSTRA GÖTALANDS LÄN</t>
        </is>
      </c>
      <c r="G59" t="inlineStr">
        <is>
          <t>HÄRRYDA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13108-2023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45002</v>
      </c>
      <c r="E60" s="1" t="n">
        <v>46226</v>
      </c>
      <c r="F60" t="inlineStr">
        <is>
          <t>VÄSTRA GÖTALANDS LÄN</t>
        </is>
      </c>
      <c r="G60" t="inlineStr">
        <is>
          <t>HÄRRYDA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69563-2021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44532</v>
      </c>
      <c r="E61" s="1" t="n">
        <v>46226</v>
      </c>
      <c r="F61" t="inlineStr">
        <is>
          <t>VÄSTRA GÖTALANDS LÄN</t>
        </is>
      </c>
      <c r="G61" t="inlineStr">
        <is>
          <t>HÄRRYDA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46349-2025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45925</v>
      </c>
      <c r="E62" s="1" t="n">
        <v>46226</v>
      </c>
      <c r="F62" t="inlineStr">
        <is>
          <t>VÄSTRA GÖTALANDS LÄN</t>
        </is>
      </c>
      <c r="G62" t="inlineStr">
        <is>
          <t>HÄRRYDA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15401-2026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46106</v>
      </c>
      <c r="E63" s="1" t="n">
        <v>46226</v>
      </c>
      <c r="F63" t="inlineStr">
        <is>
          <t>VÄSTRA GÖTALANDS LÄN</t>
        </is>
      </c>
      <c r="G63" t="inlineStr">
        <is>
          <t>HÄRRYDA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15700-2026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46107</v>
      </c>
      <c r="E64" s="1" t="n">
        <v>46226</v>
      </c>
      <c r="F64" t="inlineStr">
        <is>
          <t>VÄSTRA GÖTALANDS LÄN</t>
        </is>
      </c>
      <c r="G64" t="inlineStr">
        <is>
          <t>HÄRRYDA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60432-2022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44911</v>
      </c>
      <c r="E65" s="1" t="n">
        <v>46226</v>
      </c>
      <c r="F65" t="inlineStr">
        <is>
          <t>VÄSTRA GÖTALANDS LÄN</t>
        </is>
      </c>
      <c r="G65" t="inlineStr">
        <is>
          <t>HÄRRYDA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15704-2026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46107</v>
      </c>
      <c r="E66" s="1" t="n">
        <v>46226</v>
      </c>
      <c r="F66" t="inlineStr">
        <is>
          <t>VÄSTRA GÖTALANDS LÄN</t>
        </is>
      </c>
      <c r="G66" t="inlineStr">
        <is>
          <t>HÄRRYDA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15698-2026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46107</v>
      </c>
      <c r="E67" s="1" t="n">
        <v>46226</v>
      </c>
      <c r="F67" t="inlineStr">
        <is>
          <t>VÄSTRA GÖTALANDS LÄN</t>
        </is>
      </c>
      <c r="G67" t="inlineStr">
        <is>
          <t>HÄRRYDA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21800-2023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45067</v>
      </c>
      <c r="E68" s="1" t="n">
        <v>46226</v>
      </c>
      <c r="F68" t="inlineStr">
        <is>
          <t>VÄSTRA GÖTALANDS LÄN</t>
        </is>
      </c>
      <c r="G68" t="inlineStr">
        <is>
          <t>HÄRRYDA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48538-2025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45936</v>
      </c>
      <c r="E69" s="1" t="n">
        <v>46226</v>
      </c>
      <c r="F69" t="inlineStr">
        <is>
          <t>VÄSTRA GÖTALANDS LÄN</t>
        </is>
      </c>
      <c r="G69" t="inlineStr">
        <is>
          <t>HÄRRYDA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48440-2025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45935</v>
      </c>
      <c r="E70" s="1" t="n">
        <v>46226</v>
      </c>
      <c r="F70" t="inlineStr">
        <is>
          <t>VÄSTRA GÖTALANDS LÄN</t>
        </is>
      </c>
      <c r="G70" t="inlineStr">
        <is>
          <t>HÄRRYDA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48432-2025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45934</v>
      </c>
      <c r="E71" s="1" t="n">
        <v>46226</v>
      </c>
      <c r="F71" t="inlineStr">
        <is>
          <t>VÄSTRA GÖTALANDS LÄN</t>
        </is>
      </c>
      <c r="G71" t="inlineStr">
        <is>
          <t>HÄRRYDA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46226</v>
      </c>
      <c r="F72" t="inlineStr">
        <is>
          <t>VÄSTRA GÖTALANDS LÄN</t>
        </is>
      </c>
      <c r="G72" t="inlineStr">
        <is>
          <t>HÄRRYDA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25726-2022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46226</v>
      </c>
      <c r="F73" t="inlineStr">
        <is>
          <t>VÄSTRA GÖTALANDS LÄN</t>
        </is>
      </c>
      <c r="G73" t="inlineStr">
        <is>
          <t>HÄRRYDA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41725-2024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45560</v>
      </c>
      <c r="E74" s="1" t="n">
        <v>46226</v>
      </c>
      <c r="F74" t="inlineStr">
        <is>
          <t>VÄSTRA GÖTALANDS LÄN</t>
        </is>
      </c>
      <c r="G74" t="inlineStr">
        <is>
          <t>HÄRRYDA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51501-2025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45950</v>
      </c>
      <c r="E75" s="1" t="n">
        <v>46226</v>
      </c>
      <c r="F75" t="inlineStr">
        <is>
          <t>VÄSTRA GÖTALANDS LÄN</t>
        </is>
      </c>
      <c r="G75" t="inlineStr">
        <is>
          <t>HÄRRYDA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15480-2025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45747</v>
      </c>
      <c r="E76" s="1" t="n">
        <v>46226</v>
      </c>
      <c r="F76" t="inlineStr">
        <is>
          <t>VÄSTRA GÖTALANDS LÄN</t>
        </is>
      </c>
      <c r="G76" t="inlineStr">
        <is>
          <t>HÄRRYDA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55273-2025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45968</v>
      </c>
      <c r="E77" s="1" t="n">
        <v>46226</v>
      </c>
      <c r="F77" t="inlineStr">
        <is>
          <t>VÄSTRA GÖTALANDS LÄN</t>
        </is>
      </c>
      <c r="G77" t="inlineStr">
        <is>
          <t>HÄRRYDA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61737-2025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46226</v>
      </c>
      <c r="F78" t="inlineStr">
        <is>
          <t>VÄSTRA GÖTALANDS LÄN</t>
        </is>
      </c>
      <c r="G78" t="inlineStr">
        <is>
          <t>HÄRRYDA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61741-2025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46002</v>
      </c>
      <c r="E79" s="1" t="n">
        <v>46226</v>
      </c>
      <c r="F79" t="inlineStr">
        <is>
          <t>VÄSTRA GÖTALANDS LÄN</t>
        </is>
      </c>
      <c r="G79" t="inlineStr">
        <is>
          <t>HÄRRYDA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29696-2023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46226</v>
      </c>
      <c r="F80" t="inlineStr">
        <is>
          <t>VÄSTRA GÖTALANDS LÄN</t>
        </is>
      </c>
      <c r="G80" t="inlineStr">
        <is>
          <t>HÄRRYDA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16509-2025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45751</v>
      </c>
      <c r="E81" s="1" t="n">
        <v>46226</v>
      </c>
      <c r="F81" t="inlineStr">
        <is>
          <t>VÄSTRA GÖTALANDS LÄN</t>
        </is>
      </c>
      <c r="G81" t="inlineStr">
        <is>
          <t>HÄRRYDA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72891-2021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44547</v>
      </c>
      <c r="E82" s="1" t="n">
        <v>46226</v>
      </c>
      <c r="F82" t="inlineStr">
        <is>
          <t>VÄSTRA GÖTALANDS LÄN</t>
        </is>
      </c>
      <c r="G82" t="inlineStr">
        <is>
          <t>HÄRRYDA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60323-2025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45994</v>
      </c>
      <c r="E83" s="1" t="n">
        <v>46226</v>
      </c>
      <c r="F83" t="inlineStr">
        <is>
          <t>VÄSTRA GÖTALANDS LÄN</t>
        </is>
      </c>
      <c r="G83" t="inlineStr">
        <is>
          <t>HÄRRYDA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47350-2024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45587</v>
      </c>
      <c r="E84" s="1" t="n">
        <v>46226</v>
      </c>
      <c r="F84" t="inlineStr">
        <is>
          <t>VÄSTRA GÖTALANDS LÄN</t>
        </is>
      </c>
      <c r="G84" t="inlineStr">
        <is>
          <t>HÄRRYDA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5987-2024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45336</v>
      </c>
      <c r="E85" s="1" t="n">
        <v>46226</v>
      </c>
      <c r="F85" t="inlineStr">
        <is>
          <t>VÄSTRA GÖTALANDS LÄN</t>
        </is>
      </c>
      <c r="G85" t="inlineStr">
        <is>
          <t>HÄRRYDA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41318-2022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44826</v>
      </c>
      <c r="E86" s="1" t="n">
        <v>46226</v>
      </c>
      <c r="F86" t="inlineStr">
        <is>
          <t>VÄSTRA GÖTALANDS LÄN</t>
        </is>
      </c>
      <c r="G86" t="inlineStr">
        <is>
          <t>HÄRRYDA</t>
        </is>
      </c>
      <c r="I86" t="n">
        <v>11.5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7356-2025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45704</v>
      </c>
      <c r="E87" s="1" t="n">
        <v>46226</v>
      </c>
      <c r="F87" t="inlineStr">
        <is>
          <t>VÄSTRA GÖTALANDS LÄN</t>
        </is>
      </c>
      <c r="G87" t="inlineStr">
        <is>
          <t>HÄRRYDA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9492-2025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45715</v>
      </c>
      <c r="E88" s="1" t="n">
        <v>46226</v>
      </c>
      <c r="F88" t="inlineStr">
        <is>
          <t>VÄSTRA GÖTALANDS LÄN</t>
        </is>
      </c>
      <c r="G88" t="inlineStr">
        <is>
          <t>HÄRRYDA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9494-2025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45715</v>
      </c>
      <c r="E89" s="1" t="n">
        <v>46226</v>
      </c>
      <c r="F89" t="inlineStr">
        <is>
          <t>VÄSTRA GÖTALANDS LÄN</t>
        </is>
      </c>
      <c r="G89" t="inlineStr">
        <is>
          <t>HÄRRYDA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4433-2025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45686</v>
      </c>
      <c r="E90" s="1" t="n">
        <v>46226</v>
      </c>
      <c r="F90" t="inlineStr">
        <is>
          <t>VÄSTRA GÖTALANDS LÄN</t>
        </is>
      </c>
      <c r="G90" t="inlineStr">
        <is>
          <t>HÄRRYDA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39761-2023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45167</v>
      </c>
      <c r="E91" s="1" t="n">
        <v>46226</v>
      </c>
      <c r="F91" t="inlineStr">
        <is>
          <t>VÄSTRA GÖTALANDS LÄN</t>
        </is>
      </c>
      <c r="G91" t="inlineStr">
        <is>
          <t>HÄRRYDA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39762-2023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46226</v>
      </c>
      <c r="F92" t="inlineStr">
        <is>
          <t>VÄSTRA GÖTALANDS LÄN</t>
        </is>
      </c>
      <c r="G92" t="inlineStr">
        <is>
          <t>HÄRRYDA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52043-2024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45608</v>
      </c>
      <c r="E93" s="1" t="n">
        <v>46226</v>
      </c>
      <c r="F93" t="inlineStr">
        <is>
          <t>VÄSTRA GÖTALANDS LÄN</t>
        </is>
      </c>
      <c r="G93" t="inlineStr">
        <is>
          <t>HÄRRYDA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47334-2024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45587</v>
      </c>
      <c r="E94" s="1" t="n">
        <v>46226</v>
      </c>
      <c r="F94" t="inlineStr">
        <is>
          <t>VÄSTRA GÖTALANDS LÄN</t>
        </is>
      </c>
      <c r="G94" t="inlineStr">
        <is>
          <t>HÄRRYDA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14183-2024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45393</v>
      </c>
      <c r="E95" s="1" t="n">
        <v>46226</v>
      </c>
      <c r="F95" t="inlineStr">
        <is>
          <t>VÄSTRA GÖTALANDS LÄN</t>
        </is>
      </c>
      <c r="G95" t="inlineStr">
        <is>
          <t>HÄRRYDA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2946-2024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45315</v>
      </c>
      <c r="E96" s="1" t="n">
        <v>46226</v>
      </c>
      <c r="F96" t="inlineStr">
        <is>
          <t>VÄSTRA GÖTALANDS LÄN</t>
        </is>
      </c>
      <c r="G96" t="inlineStr">
        <is>
          <t>HÄRRYDA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4315-2024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45324</v>
      </c>
      <c r="E97" s="1" t="n">
        <v>46226</v>
      </c>
      <c r="F97" t="inlineStr">
        <is>
          <t>VÄSTRA GÖTALANDS LÄN</t>
        </is>
      </c>
      <c r="G97" t="inlineStr">
        <is>
          <t>HÄRRYDA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45336</v>
      </c>
      <c r="E98" s="1" t="n">
        <v>46226</v>
      </c>
      <c r="F98" t="inlineStr">
        <is>
          <t>VÄSTRA GÖTALANDS LÄN</t>
        </is>
      </c>
      <c r="G98" t="inlineStr">
        <is>
          <t>HÄRRYDA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23492-2022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44721</v>
      </c>
      <c r="E99" s="1" t="n">
        <v>46226</v>
      </c>
      <c r="F99" t="inlineStr">
        <is>
          <t>VÄSTRA GÖTALANDS LÄN</t>
        </is>
      </c>
      <c r="G99" t="inlineStr">
        <is>
          <t>HÄRRYDA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64560-2023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45281</v>
      </c>
      <c r="E100" s="1" t="n">
        <v>46226</v>
      </c>
      <c r="F100" t="inlineStr">
        <is>
          <t>VÄSTRA GÖTALANDS LÄN</t>
        </is>
      </c>
      <c r="G100" t="inlineStr">
        <is>
          <t>HÄRRYDA</t>
        </is>
      </c>
      <c r="I100" t="n">
        <v>7.1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9785-2026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46072</v>
      </c>
      <c r="E101" s="1" t="n">
        <v>46226</v>
      </c>
      <c r="F101" t="inlineStr">
        <is>
          <t>VÄSTRA GÖTALANDS LÄN</t>
        </is>
      </c>
      <c r="G101" t="inlineStr">
        <is>
          <t>HÄRRYDA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30869-2026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46212</v>
      </c>
      <c r="E102" s="1" t="n">
        <v>46226</v>
      </c>
      <c r="F102" t="inlineStr">
        <is>
          <t>VÄSTRA GÖTALANDS LÄN</t>
        </is>
      </c>
      <c r="G102" t="inlineStr">
        <is>
          <t>HÄRRYDA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30846-2026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46212</v>
      </c>
      <c r="E103" s="1" t="n">
        <v>46226</v>
      </c>
      <c r="F103" t="inlineStr">
        <is>
          <t>VÄSTRA GÖTALANDS LÄN</t>
        </is>
      </c>
      <c r="G103" t="inlineStr">
        <is>
          <t>HÄRRYDA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3753-2024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45321</v>
      </c>
      <c r="E104" s="1" t="n">
        <v>46226</v>
      </c>
      <c r="F104" t="inlineStr">
        <is>
          <t>VÄSTRA GÖTALANDS LÄN</t>
        </is>
      </c>
      <c r="G104" t="inlineStr">
        <is>
          <t>HÄRRYDA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45307</v>
      </c>
      <c r="E105" s="1" t="n">
        <v>46226</v>
      </c>
      <c r="F105" t="inlineStr">
        <is>
          <t>VÄSTRA GÖTALANDS LÄN</t>
        </is>
      </c>
      <c r="G105" t="inlineStr">
        <is>
          <t>HÄRRYDA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31521-2026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46223</v>
      </c>
      <c r="E106" s="1" t="n">
        <v>46226</v>
      </c>
      <c r="F106" t="inlineStr">
        <is>
          <t>VÄSTRA GÖTALANDS LÄN</t>
        </is>
      </c>
      <c r="G106" t="inlineStr">
        <is>
          <t>HÄRRYDA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25439-2022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44732</v>
      </c>
      <c r="E107" s="1" t="n">
        <v>46226</v>
      </c>
      <c r="F107" t="inlineStr">
        <is>
          <t>VÄSTRA GÖTALANDS LÄN</t>
        </is>
      </c>
      <c r="G107" t="inlineStr">
        <is>
          <t>HÄRRYDA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45855</v>
      </c>
      <c r="E108" s="1" t="n">
        <v>46226</v>
      </c>
      <c r="F108" t="inlineStr">
        <is>
          <t>VÄSTRA GÖTALANDS LÄN</t>
        </is>
      </c>
      <c r="G108" t="inlineStr">
        <is>
          <t>HÄRRYDA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44960</v>
      </c>
      <c r="E109" s="1" t="n">
        <v>46226</v>
      </c>
      <c r="F109" t="inlineStr">
        <is>
          <t>VÄSTRA GÖTALANDS LÄN</t>
        </is>
      </c>
      <c r="G109" t="inlineStr">
        <is>
          <t>HÄRRYDA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31641-2026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46225</v>
      </c>
      <c r="E110" s="1" t="n">
        <v>46226</v>
      </c>
      <c r="F110" t="inlineStr">
        <is>
          <t>VÄSTRA GÖTALANDS LÄN</t>
        </is>
      </c>
      <c r="G110" t="inlineStr">
        <is>
          <t>HÄRRYDA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31631-2026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46225</v>
      </c>
      <c r="E111" s="1" t="n">
        <v>46226</v>
      </c>
      <c r="F111" t="inlineStr">
        <is>
          <t>VÄSTRA GÖTALANDS LÄN</t>
        </is>
      </c>
      <c r="G111" t="inlineStr">
        <is>
          <t>HÄRRYDA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51127-2023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45219</v>
      </c>
      <c r="E112" s="1" t="n">
        <v>46226</v>
      </c>
      <c r="F112" t="inlineStr">
        <is>
          <t>VÄSTRA GÖTALANDS LÄN</t>
        </is>
      </c>
      <c r="G112" t="inlineStr">
        <is>
          <t>HÄRRYDA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51130-2023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45219</v>
      </c>
      <c r="E113" s="1" t="n">
        <v>46226</v>
      </c>
      <c r="F113" t="inlineStr">
        <is>
          <t>VÄSTRA GÖTALANDS LÄN</t>
        </is>
      </c>
      <c r="G113" t="inlineStr">
        <is>
          <t>HÄRRYDA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45313</v>
      </c>
      <c r="E114" s="1" t="n">
        <v>46226</v>
      </c>
      <c r="F114" t="inlineStr">
        <is>
          <t>VÄSTRA GÖTALANDS LÄN</t>
        </is>
      </c>
      <c r="G114" t="inlineStr">
        <is>
          <t>HÄRRYDA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34665-2023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45140</v>
      </c>
      <c r="E115" s="1" t="n">
        <v>46226</v>
      </c>
      <c r="F115" t="inlineStr">
        <is>
          <t>VÄSTRA GÖTALANDS LÄN</t>
        </is>
      </c>
      <c r="G115" t="inlineStr">
        <is>
          <t>HÄRRYDA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32866-2022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44784</v>
      </c>
      <c r="E116" s="1" t="n">
        <v>46226</v>
      </c>
      <c r="F116" t="inlineStr">
        <is>
          <t>VÄSTRA GÖTALANDS LÄN</t>
        </is>
      </c>
      <c r="G116" t="inlineStr">
        <is>
          <t>HÄRRYDA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65080-2023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45287</v>
      </c>
      <c r="E117" s="1" t="n">
        <v>46226</v>
      </c>
      <c r="F117" t="inlineStr">
        <is>
          <t>VÄSTRA GÖTALANDS LÄN</t>
        </is>
      </c>
      <c r="G117" t="inlineStr">
        <is>
          <t>HÄRRYDA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59711-2022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44908</v>
      </c>
      <c r="E118" s="1" t="n">
        <v>46226</v>
      </c>
      <c r="F118" t="inlineStr">
        <is>
          <t>VÄSTRA GÖTALANDS LÄN</t>
        </is>
      </c>
      <c r="G118" t="inlineStr">
        <is>
          <t>HÄRRYDA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12090-2024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45377</v>
      </c>
      <c r="E119" s="1" t="n">
        <v>46226</v>
      </c>
      <c r="F119" t="inlineStr">
        <is>
          <t>VÄSTRA GÖTALANDS LÄN</t>
        </is>
      </c>
      <c r="G119" t="inlineStr">
        <is>
          <t>HÄRRYDA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45058</v>
      </c>
      <c r="E120" s="1" t="n">
        <v>46226</v>
      </c>
      <c r="F120" t="inlineStr">
        <is>
          <t>VÄSTRA GÖTALANDS LÄN</t>
        </is>
      </c>
      <c r="G120" t="inlineStr">
        <is>
          <t>HÄRRYDA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55071-2023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45237</v>
      </c>
      <c r="E121" s="1" t="n">
        <v>46226</v>
      </c>
      <c r="F121" t="inlineStr">
        <is>
          <t>VÄSTRA GÖTALANDS LÄN</t>
        </is>
      </c>
      <c r="G121" t="inlineStr">
        <is>
          <t>HÄRRYDA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52166-2023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45224</v>
      </c>
      <c r="E122" s="1" t="n">
        <v>46226</v>
      </c>
      <c r="F122" t="inlineStr">
        <is>
          <t>VÄSTRA GÖTALANDS LÄN</t>
        </is>
      </c>
      <c r="G122" t="inlineStr">
        <is>
          <t>HÄRRYDA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56832-2023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45244</v>
      </c>
      <c r="E123" s="1" t="n">
        <v>46226</v>
      </c>
      <c r="F123" t="inlineStr">
        <is>
          <t>VÄSTRA GÖTALANDS LÄN</t>
        </is>
      </c>
      <c r="G123" t="inlineStr">
        <is>
          <t>HÄRRYDA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12091-2024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45377</v>
      </c>
      <c r="E124" s="1" t="n">
        <v>46226</v>
      </c>
      <c r="F124" t="inlineStr">
        <is>
          <t>VÄSTRA GÖTALANDS LÄN</t>
        </is>
      </c>
      <c r="G124" t="inlineStr">
        <is>
          <t>HÄRRYDA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51012-2023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45218</v>
      </c>
      <c r="E125" s="1" t="n">
        <v>46226</v>
      </c>
      <c r="F125" t="inlineStr">
        <is>
          <t>VÄSTRA GÖTALANDS LÄN</t>
        </is>
      </c>
      <c r="G125" t="inlineStr">
        <is>
          <t>HÄRRYDA</t>
        </is>
      </c>
      <c r="H125" t="inlineStr">
        <is>
          <t>Sveaskog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64291-2023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45280</v>
      </c>
      <c r="E126" s="1" t="n">
        <v>46226</v>
      </c>
      <c r="F126" t="inlineStr">
        <is>
          <t>VÄSTRA GÖTALANDS LÄN</t>
        </is>
      </c>
      <c r="G126" t="inlineStr">
        <is>
          <t>HÄRRYDA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25499-2022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44732</v>
      </c>
      <c r="E127" s="1" t="n">
        <v>46226</v>
      </c>
      <c r="F127" t="inlineStr">
        <is>
          <t>VÄSTRA GÖTALANDS LÄN</t>
        </is>
      </c>
      <c r="G127" t="inlineStr">
        <is>
          <t>HÄRRYDA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46798-2024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45583</v>
      </c>
      <c r="E128" s="1" t="n">
        <v>46226</v>
      </c>
      <c r="F128" t="inlineStr">
        <is>
          <t>VÄSTRA GÖTALANDS LÄN</t>
        </is>
      </c>
      <c r="G128" t="inlineStr">
        <is>
          <t>HÄRRYDA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22271-2025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45785</v>
      </c>
      <c r="E129" s="1" t="n">
        <v>46226</v>
      </c>
      <c r="F129" t="inlineStr">
        <is>
          <t>VÄSTRA GÖTALANDS LÄN</t>
        </is>
      </c>
      <c r="G129" t="inlineStr">
        <is>
          <t>HÄRRYDA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24542-2025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45798</v>
      </c>
      <c r="E130" s="1" t="n">
        <v>46226</v>
      </c>
      <c r="F130" t="inlineStr">
        <is>
          <t>VÄSTRA GÖTALANDS LÄN</t>
        </is>
      </c>
      <c r="G130" t="inlineStr">
        <is>
          <t>HÄRRYDA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26992-2025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45811</v>
      </c>
      <c r="E131" s="1" t="n">
        <v>46226</v>
      </c>
      <c r="F131" t="inlineStr">
        <is>
          <t>VÄSTRA GÖTALANDS LÄN</t>
        </is>
      </c>
      <c r="G131" t="inlineStr">
        <is>
          <t>HÄRRYDA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>
      <c r="A132" t="inlineStr">
        <is>
          <t>S 6216-2021</t>
        </is>
      </c>
      <c r="B132" t="inlineStr">
        <is>
          <t>samrådsanmälan</t>
        </is>
      </c>
      <c r="C132" t="inlineStr">
        <is>
          <t>Skogsbilväg</t>
        </is>
      </c>
      <c r="D132" s="1" t="n">
        <v>44447</v>
      </c>
      <c r="E132" s="1" t="n">
        <v>46226</v>
      </c>
      <c r="F132" t="inlineStr">
        <is>
          <t>VÄSTRA GÖTALANDS LÄN</t>
        </is>
      </c>
      <c r="G132" t="inlineStr">
        <is>
          <t>HÄRRYDA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2026-07-23T01:41:53Z</dcterms:created>
  <dcterms:modified xmlns:dcterms="http://purl.org/dc/terms/" xmlns:xsi="http://www.w3.org/2001/XMLSchema-instance" xsi:type="dcterms:W3CDTF">2026-07-23T01:41:53Z</dcterms:modified>
</cp:coreProperties>
</file>